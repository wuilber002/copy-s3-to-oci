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dos da transferência" sheetId="1" state="visible" r:id="rId1"/>
    <sheet name="Tarifas por região" sheetId="2" state="visible" r:id="rId2"/>
    <sheet name="Resumo" sheetId="3" state="visible" r:id="rId3"/>
  </sheets>
  <definedNames>
    <definedName name="_xlnm._FilterDatabase" localSheetId="1" hidden="1">'Tarifas por região'!$A$4:$L$54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.00;[Red]-#,##0.00;0"/>
    <numFmt numFmtId="165" formatCode="#,##0;[Red]-#,##0;0"/>
    <numFmt numFmtId="166" formatCode="0.0%"/>
    <numFmt numFmtId="167" formatCode="$ #,##0.000000;[Red]-$ #,##0.000000;$ 0.000000"/>
    <numFmt numFmtId="168" formatCode="#,##0.0000;[Red]-#,##0.0000;0"/>
    <numFmt numFmtId="169" formatCode="$ #,##0.00;[Red]-$ #,##0.00;$ 0.00"/>
  </numFmts>
  <fonts count="7">
    <font>
      <name val="Calibri"/>
      <family val="2"/>
      <color theme="1"/>
      <sz val="11"/>
      <scheme val="minor"/>
    </font>
    <font>
      <b val="1"/>
      <color rgb="00F8FAFC"/>
      <sz val="18"/>
    </font>
    <font>
      <i val="1"/>
      <color rgb="00C5D2E8"/>
      <sz val="10"/>
    </font>
    <font>
      <b val="1"/>
      <color rgb="00F8FAFC"/>
    </font>
    <font>
      <color rgb="00F8FAFC"/>
    </font>
    <font>
      <color rgb="00111827"/>
    </font>
    <font>
      <b val="1"/>
      <color rgb="00F8FAFC"/>
      <sz val="14"/>
    </font>
  </fonts>
  <fills count="8">
    <fill>
      <patternFill/>
    </fill>
    <fill>
      <patternFill patternType="gray125"/>
    </fill>
    <fill>
      <patternFill patternType="solid">
        <fgColor rgb="00101A2D"/>
      </patternFill>
    </fill>
    <fill>
      <patternFill patternType="solid">
        <fgColor rgb="0019263E"/>
      </patternFill>
    </fill>
    <fill>
      <patternFill patternType="solid">
        <fgColor rgb="003B82F6"/>
      </patternFill>
    </fill>
    <fill>
      <patternFill patternType="solid">
        <fgColor rgb="00FFF2CC"/>
      </patternFill>
    </fill>
    <fill>
      <patternFill patternType="solid">
        <fgColor rgb="000F5132"/>
      </patternFill>
    </fill>
    <fill>
      <patternFill patternType="solid">
        <fgColor rgb="00166534"/>
      </patternFill>
    </fill>
  </fills>
  <borders count="2">
    <border>
      <left/>
      <right/>
      <top/>
      <bottom/>
      <diagonal/>
    </border>
    <border>
      <left style="thin">
        <color rgb="004B5E7A"/>
      </left>
      <right style="thin">
        <color rgb="004B5E7A"/>
      </right>
      <top style="thin">
        <color rgb="004B5E7A"/>
      </top>
      <bottom style="thin">
        <color rgb="004B5E7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164" fontId="5" fillId="5" borderId="1" applyAlignment="1" pivotButton="0" quotePrefix="0" xfId="0">
      <alignment vertical="center" wrapText="1"/>
    </xf>
    <xf numFmtId="165" fontId="5" fillId="5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166" fontId="5" fillId="5" borderId="1" applyAlignment="1" pivotButton="0" quotePrefix="0" xfId="0">
      <alignment vertical="center" wrapText="1"/>
    </xf>
    <xf numFmtId="167" fontId="5" fillId="5" borderId="1" applyAlignment="1" pivotButton="0" quotePrefix="0" xfId="0">
      <alignment vertical="center" wrapText="1"/>
    </xf>
    <xf numFmtId="168" fontId="4" fillId="3" borderId="1" applyAlignment="1" pivotButton="0" quotePrefix="0" xfId="0">
      <alignment vertical="center" wrapText="1"/>
    </xf>
    <xf numFmtId="167" fontId="4" fillId="3" borderId="1" applyAlignment="1" pivotButton="0" quotePrefix="0" xfId="0">
      <alignment vertical="center" wrapText="1"/>
    </xf>
    <xf numFmtId="169" fontId="4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9" fontId="6" fillId="6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5" customWidth="1" min="2" max="2"/>
    <col width="78" customWidth="1" min="3" max="3"/>
  </cols>
  <sheetData>
    <row r="1" ht="32" customHeight="1">
      <c r="A1" s="1" t="inlineStr">
        <is>
          <t>RAIJIN — Dados da transferência</t>
        </is>
      </c>
    </row>
    <row r="2" ht="32" customHeight="1">
      <c r="A2" s="2" t="inlineStr">
        <is>
          <t>Preencha somente as células amarelas. Use unidades decimais: 1 TB = 1.000 GB. Os custos são calculados automaticamente na aba Resumo.</t>
        </is>
      </c>
    </row>
    <row r="4">
      <c r="A4" s="3" t="inlineStr">
        <is>
          <t>Informação</t>
        </is>
      </c>
      <c r="B4" s="3" t="inlineStr">
        <is>
          <t>Valor</t>
        </is>
      </c>
      <c r="C4" s="3" t="inlineStr">
        <is>
          <t>O que informar e impacto no cálculo</t>
        </is>
      </c>
    </row>
    <row r="5" ht="29" customHeight="1">
      <c r="A5" s="4" t="inlineStr">
        <is>
          <t>Região AWS</t>
        </is>
      </c>
      <c r="B5" s="5" t="inlineStr">
        <is>
          <t>sa-east-1</t>
        </is>
      </c>
      <c r="C5" s="4" t="inlineStr">
        <is>
          <t>Informe o código da região do bucket de origem, por exemplo sa-east-1 ou us-east-1. Deve existir uma linha correspondente na aba Tarifas por região.</t>
        </is>
      </c>
    </row>
    <row r="6" ht="29" customHeight="1">
      <c r="A6" s="4" t="inlineStr">
        <is>
          <t>Dados totais a transferir (TB)</t>
        </is>
      </c>
      <c r="B6" s="6" t="n">
        <v>600</v>
      </c>
      <c r="C6" s="4" t="inlineStr">
        <is>
          <t>Informe todo o volume da origem em TB decimais. Exemplo: 600 significa 600.000 GB. É usado no custo total e na quantidade de waves.</t>
        </is>
      </c>
    </row>
    <row r="7" ht="29" customHeight="1">
      <c r="A7" s="4" t="inlineStr">
        <is>
          <t>Quantidade total de arquivos</t>
        </is>
      </c>
      <c r="B7" s="7" t="n">
        <v>3600000</v>
      </c>
      <c r="C7" s="4" t="inlineStr">
        <is>
          <t>Informe a quantidade de objetos do discovery S3. Ela determina as estimativas de requests, Batch Operations e polling.</t>
        </is>
      </c>
    </row>
    <row r="8" ht="29" customHeight="1">
      <c r="A8" s="4" t="inlineStr">
        <is>
          <t>Tamanho máximo da wave (TB)</t>
        </is>
      </c>
      <c r="B8" s="6" t="n">
        <v>5</v>
      </c>
      <c r="C8" s="4" t="inlineStr">
        <is>
          <t>Informe o limite de dados por wave. A planilha arredonda a quantidade de waves para cima; a última pode ser menor.</t>
        </is>
      </c>
    </row>
    <row r="9" ht="29" customHeight="1">
      <c r="A9" s="4" t="inlineStr">
        <is>
          <t>Quantidade calculada de waves</t>
        </is>
      </c>
      <c r="B9" s="8">
        <f>ROUNDUP(B6/B8,0)</f>
        <v/>
      </c>
      <c r="C9" s="4" t="inlineStr">
        <is>
          <t>Campo calculado automaticamente a partir dos dados totais e do tamanho máximo da wave. Não editar.</t>
        </is>
      </c>
    </row>
    <row r="10" ht="29" customHeight="1">
      <c r="A10" s="4" t="inlineStr">
        <is>
          <t>Percentual em Deep Archive</t>
        </is>
      </c>
      <c r="B10" s="9" t="n">
        <v>1</v>
      </c>
      <c r="C10" s="4" t="inlineStr">
        <is>
          <t>Informe uma fração entre 0 e 1. Use 1 para 100% dos dados em DEEP_ARCHIVE, 0,5 para 50%. Apenas essa parcela recebe custos de restore.</t>
        </is>
      </c>
    </row>
    <row r="11" ht="29" customHeight="1">
      <c r="A11" s="4" t="inlineStr">
        <is>
          <t>Tier de restore</t>
        </is>
      </c>
      <c r="B11" s="5" t="inlineStr">
        <is>
          <t>BULK</t>
        </is>
      </c>
      <c r="C11" s="4" t="inlineStr">
        <is>
          <t>Selecione BULK para menor custo e maior prazo, ou STANDARD para maior velocidade e custo. Aplica-se à parcela Deep Archive.</t>
        </is>
      </c>
    </row>
    <row r="12" ht="29" customHeight="1">
      <c r="A12" s="4" t="inlineStr">
        <is>
          <t>Retenção do restore (horas)</t>
        </is>
      </c>
      <c r="B12" s="7" t="n">
        <v>48</v>
      </c>
      <c r="C12" s="4" t="inlineStr">
        <is>
          <t>Informe por quantas horas a cópia temporária S3 Standard ficará disponível após o restore terminar. Para Deep Archive BULK, 48 horas é a opção mais segura.</t>
        </is>
      </c>
    </row>
    <row r="13" ht="29" customHeight="1">
      <c r="A13" s="4" t="inlineStr">
        <is>
          <t>Ciclos esperados de polling por wave</t>
        </is>
      </c>
      <c r="B13" s="7" t="n">
        <v>24</v>
      </c>
      <c r="C13" s="4" t="inlineStr">
        <is>
          <t>Informe quantas verificações de disponibilidade a plataforma deve fazer, em média, até o restore ficar pronto. É uma estimativa conservadora de requests.</t>
        </is>
      </c>
    </row>
    <row r="14" ht="29" customHeight="1">
      <c r="A14" s="4" t="inlineStr">
        <is>
          <t>Preservar tags S3</t>
        </is>
      </c>
      <c r="B14" s="5" t="b">
        <v>1</v>
      </c>
      <c r="C14" s="4" t="inlineStr">
        <is>
          <t>Use TRUE quando as tags S3 devem ser copiadas. Isso adiciona uma leitura GET/TAG por arquivo. Use FALSE quando tags não são necessárias.</t>
        </is>
      </c>
    </row>
    <row r="15" ht="29" customHeight="1">
      <c r="A15" s="4" t="inlineStr">
        <is>
          <t>Dados Deep Archive a excluir antecipadamente (TB)</t>
        </is>
      </c>
      <c r="B15" s="6" t="n">
        <v>0</v>
      </c>
      <c r="C15" s="4" t="inlineStr">
        <is>
          <t>Informe apenas o volume que será excluído ou movido de Deep Archive antes de completar 180 dias. Use zero se os dados permanecerem no S3.</t>
        </is>
      </c>
    </row>
    <row r="16" ht="29" customHeight="1">
      <c r="A16" s="4" t="inlineStr">
        <is>
          <t>Idade média no Deep Archive (dias)</t>
        </is>
      </c>
      <c r="B16" s="7" t="n">
        <v>180</v>
      </c>
      <c r="C16" s="4" t="inlineStr">
        <is>
          <t>Informe a idade média ponderada desde a entrada no Deep Archive — não use LastModified se a transição foi por lifecycle. Com 180 ou mais, não há cobrança antecipada.</t>
        </is>
      </c>
    </row>
    <row r="17" ht="29" customHeight="1">
      <c r="A17" s="4" t="inlineStr">
        <is>
          <t>Vazão efetiva estimada (Mbps)</t>
        </is>
      </c>
      <c r="B17" s="7" t="n">
        <v>1200</v>
      </c>
      <c r="C17" s="4" t="inlineStr">
        <is>
          <t>Informe a vazão média efetiva esperada para a cópia, em Mbps. Use uma taxa sustentável medida ou conservadora — não necessariamente a capacidade nominal do link. É usada somente na estimativa de tempo.</t>
        </is>
      </c>
    </row>
  </sheetData>
  <mergeCells count="2">
    <mergeCell ref="A1:C1"/>
    <mergeCell ref="A2:C2"/>
  </mergeCells>
  <conditionalFormatting sqref="B1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2">
    <dataValidation sqref="B14" showDropDown="0" showInputMessage="0" showErrorMessage="0" allowBlank="0" type="list">
      <formula1>"TRUE,FALSE"</formula1>
    </dataValidation>
    <dataValidation sqref="B11" showDropDown="0" showInputMessage="0" showErrorMessage="0" allowBlank="0" type="list">
      <formula1>"BULK,STANDARD"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5" customWidth="1" min="3" max="3"/>
    <col width="20" customWidth="1" min="4" max="4"/>
    <col width="23" customWidth="1" min="5" max="5"/>
    <col width="27" customWidth="1" min="6" max="6"/>
    <col width="26" customWidth="1" min="7" max="7"/>
    <col width="17" customWidth="1" min="8" max="8"/>
    <col width="17" customWidth="1" min="9" max="9"/>
    <col width="15" customWidth="1" min="10" max="10"/>
    <col width="20" customWidth="1" min="11" max="11"/>
    <col width="58" customWidth="1" min="12" max="12"/>
  </cols>
  <sheetData>
    <row r="1" ht="32" customHeight="1">
      <c r="A1" s="1" t="inlineStr">
        <is>
          <t>Tarifas por região</t>
        </is>
      </c>
    </row>
    <row r="2" ht="32" customHeight="1">
      <c r="A2" s="2" t="inlineStr">
        <is>
          <t>Use somente preços públicos AWS. O script de atualização preenche as colunas públicas suportadas para sa-east-1 e us-east-1.</t>
        </is>
      </c>
    </row>
    <row r="4">
      <c r="A4" s="3" t="inlineStr">
        <is>
          <t>Região AWS</t>
        </is>
      </c>
      <c r="B4" s="3" t="inlineStr">
        <is>
          <t>Moeda</t>
        </is>
      </c>
      <c r="C4" s="3" t="inlineStr">
        <is>
          <t>Outbound AWS Internet
US$/GB</t>
        </is>
      </c>
      <c r="D4" s="3" t="inlineStr">
        <is>
          <t>Armazenamento Deep Archive
US$/GB-mês</t>
        </is>
      </c>
      <c r="E4" s="3" t="inlineStr">
        <is>
          <t>Recuperação Deep Archive BULK
US$/GB</t>
        </is>
      </c>
      <c r="F4" s="3" t="inlineStr">
        <is>
          <t>Recuperação Deep Archive STANDARD
US$/GB</t>
        </is>
      </c>
      <c r="G4" s="3" t="inlineStr">
        <is>
          <t>Cópia temporária S3 Standard
US$/GB-mês</t>
        </is>
      </c>
      <c r="H4" s="3" t="inlineStr">
        <is>
          <t>S3 PUT/LIST
US$/1.000</t>
        </is>
      </c>
      <c r="I4" s="3" t="inlineStr">
        <is>
          <t>S3 GET/TAG
US$/1.000</t>
        </is>
      </c>
      <c r="J4" s="3" t="inlineStr">
        <is>
          <t>Job Batch
US$/job</t>
        </is>
      </c>
      <c r="K4" s="3" t="inlineStr">
        <is>
          <t>Objeto Batch
US$/1.000</t>
        </is>
      </c>
      <c r="L4" s="3" t="inlineStr">
        <is>
          <t>Fonte pública / observações</t>
        </is>
      </c>
    </row>
    <row r="5" ht="27" customHeight="1">
      <c r="A5" s="5" t="inlineStr">
        <is>
          <t>sa-east-1</t>
        </is>
      </c>
      <c r="B5" s="5" t="inlineStr">
        <is>
          <t>USD</t>
        </is>
      </c>
      <c r="C5" s="10" t="n">
        <v>0.15</v>
      </c>
      <c r="D5" s="10" t="n"/>
      <c r="E5" s="10" t="n">
        <v>0.008</v>
      </c>
      <c r="F5" s="10" t="n">
        <v>0.028</v>
      </c>
      <c r="G5" s="10" t="n">
        <v>0.0405</v>
      </c>
      <c r="H5" s="10" t="n">
        <v>0.007</v>
      </c>
      <c r="I5" s="10" t="n">
        <v>0.00056</v>
      </c>
      <c r="J5" s="10" t="n">
        <v>0.25</v>
      </c>
      <c r="K5" s="10" t="n">
        <v>1.5e-05</v>
      </c>
      <c r="L5" s="5" t="inlineStr">
        <is>
          <t>Valores públicos AWS coletados pelo Raijin em 19/08/2026. Atualize antes de aprovar gastos.</t>
        </is>
      </c>
    </row>
    <row r="6" ht="27" customHeight="1">
      <c r="A6" s="5" t="inlineStr">
        <is>
          <t>us-east-1</t>
        </is>
      </c>
      <c r="B6" s="5" t="inlineStr">
        <is>
          <t>USD</t>
        </is>
      </c>
      <c r="C6" s="10" t="n">
        <v>0.09</v>
      </c>
      <c r="D6" s="10" t="n"/>
      <c r="E6" s="10" t="n">
        <v>0.0025</v>
      </c>
      <c r="F6" s="10" t="n">
        <v>0.02</v>
      </c>
      <c r="G6" s="10" t="n">
        <v>0.0125</v>
      </c>
      <c r="H6" s="10" t="n">
        <v>0.055</v>
      </c>
      <c r="I6" s="10" t="n">
        <v>0.0004</v>
      </c>
      <c r="J6" s="10" t="n">
        <v>0.25</v>
      </c>
      <c r="K6" s="10" t="n">
        <v>0.001</v>
      </c>
      <c r="L6" s="5" t="inlineStr">
        <is>
          <t>Valores públicos de exemplo. Atualize antes de usar.</t>
        </is>
      </c>
    </row>
    <row r="7" ht="27" customHeight="1">
      <c r="A7" s="5" t="n"/>
      <c r="B7" s="5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5" t="n"/>
    </row>
    <row r="8" ht="27" customHeight="1">
      <c r="A8" s="5" t="n"/>
      <c r="B8" s="5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5" t="n"/>
    </row>
    <row r="9" ht="27" customHeight="1">
      <c r="A9" s="5" t="n"/>
      <c r="B9" s="5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</row>
    <row r="10" ht="27" customHeight="1">
      <c r="A10" s="5" t="n"/>
      <c r="B10" s="5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</row>
    <row r="11" ht="27" customHeight="1">
      <c r="A11" s="5" t="n"/>
      <c r="B11" s="5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</row>
    <row r="12" ht="27" customHeight="1">
      <c r="A12" s="5" t="n"/>
      <c r="B12" s="5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</row>
    <row r="13" ht="27" customHeight="1">
      <c r="A13" s="5" t="n"/>
      <c r="B13" s="5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</row>
    <row r="14" ht="27" customHeight="1">
      <c r="A14" s="5" t="n"/>
      <c r="B14" s="5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</row>
    <row r="15" ht="27" customHeight="1">
      <c r="A15" s="5" t="n"/>
      <c r="B15" s="5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</row>
    <row r="16" ht="27" customHeight="1">
      <c r="A16" s="5" t="n"/>
      <c r="B16" s="5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</row>
    <row r="17" ht="27" customHeight="1">
      <c r="A17" s="5" t="n"/>
      <c r="B17" s="5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</row>
    <row r="18" ht="27" customHeight="1">
      <c r="A18" s="5" t="n"/>
      <c r="B18" s="5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</row>
    <row r="19" ht="27" customHeight="1">
      <c r="A19" s="5" t="n"/>
      <c r="B19" s="5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</row>
    <row r="20" ht="27" customHeight="1">
      <c r="A20" s="5" t="n"/>
      <c r="B20" s="5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</row>
    <row r="21" ht="27" customHeight="1">
      <c r="A21" s="5" t="n"/>
      <c r="B21" s="5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</row>
    <row r="22" ht="27" customHeight="1">
      <c r="A22" s="5" t="n"/>
      <c r="B22" s="5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</row>
    <row r="23" ht="27" customHeight="1">
      <c r="A23" s="5" t="n"/>
      <c r="B23" s="5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5" t="n"/>
    </row>
    <row r="24" ht="27" customHeight="1">
      <c r="A24" s="5" t="n"/>
      <c r="B24" s="5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5" t="n"/>
    </row>
    <row r="25" ht="27" customHeight="1">
      <c r="A25" s="5" t="n"/>
      <c r="B25" s="5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5" t="n"/>
    </row>
    <row r="26" ht="27" customHeight="1">
      <c r="A26" s="5" t="n"/>
      <c r="B26" s="5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5" t="n"/>
    </row>
    <row r="27" ht="27" customHeight="1">
      <c r="A27" s="5" t="n"/>
      <c r="B27" s="5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5" t="n"/>
    </row>
    <row r="28" ht="27" customHeight="1">
      <c r="A28" s="5" t="n"/>
      <c r="B28" s="5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5" t="n"/>
    </row>
    <row r="29" ht="27" customHeight="1">
      <c r="A29" s="5" t="n"/>
      <c r="B29" s="5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5" t="n"/>
    </row>
    <row r="30" ht="27" customHeight="1">
      <c r="A30" s="5" t="n"/>
      <c r="B30" s="5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5" t="n"/>
    </row>
    <row r="31" ht="27" customHeight="1">
      <c r="A31" s="5" t="n"/>
      <c r="B31" s="5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5" t="n"/>
    </row>
    <row r="32" ht="27" customHeight="1">
      <c r="A32" s="5" t="n"/>
      <c r="B32" s="5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5" t="n"/>
    </row>
    <row r="33" ht="27" customHeight="1">
      <c r="A33" s="5" t="n"/>
      <c r="B33" s="5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5" t="n"/>
    </row>
    <row r="34" ht="27" customHeight="1">
      <c r="A34" s="5" t="n"/>
      <c r="B34" s="5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5" t="n"/>
    </row>
    <row r="35" ht="27" customHeight="1">
      <c r="A35" s="5" t="n"/>
      <c r="B35" s="5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5" t="n"/>
    </row>
    <row r="36" ht="27" customHeight="1">
      <c r="A36" s="5" t="n"/>
      <c r="B36" s="5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5" t="n"/>
    </row>
    <row r="37" ht="27" customHeight="1">
      <c r="A37" s="5" t="n"/>
      <c r="B37" s="5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5" t="n"/>
    </row>
    <row r="38" ht="27" customHeight="1">
      <c r="A38" s="5" t="n"/>
      <c r="B38" s="5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5" t="n"/>
    </row>
    <row r="39" ht="27" customHeight="1">
      <c r="A39" s="5" t="n"/>
      <c r="B39" s="5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5" t="n"/>
    </row>
    <row r="40" ht="27" customHeight="1">
      <c r="A40" s="5" t="n"/>
      <c r="B40" s="5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5" t="n"/>
    </row>
    <row r="41" ht="27" customHeight="1">
      <c r="A41" s="5" t="n"/>
      <c r="B41" s="5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5" t="n"/>
    </row>
    <row r="42" ht="27" customHeight="1">
      <c r="A42" s="5" t="n"/>
      <c r="B42" s="5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5" t="n"/>
    </row>
    <row r="43" ht="27" customHeight="1">
      <c r="A43" s="5" t="n"/>
      <c r="B43" s="5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5" t="n"/>
    </row>
    <row r="44" ht="27" customHeight="1">
      <c r="A44" s="5" t="n"/>
      <c r="B44" s="5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5" t="n"/>
    </row>
    <row r="45" ht="27" customHeight="1">
      <c r="A45" s="5" t="n"/>
      <c r="B45" s="5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5" t="n"/>
    </row>
    <row r="46" ht="27" customHeight="1">
      <c r="A46" s="5" t="n"/>
      <c r="B46" s="5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5" t="n"/>
    </row>
    <row r="47" ht="27" customHeight="1">
      <c r="A47" s="5" t="n"/>
      <c r="B47" s="5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5" t="n"/>
    </row>
    <row r="48" ht="27" customHeight="1">
      <c r="A48" s="5" t="n"/>
      <c r="B48" s="5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5" t="n"/>
    </row>
    <row r="49" ht="27" customHeight="1">
      <c r="A49" s="5" t="n"/>
      <c r="B49" s="5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5" t="n"/>
    </row>
    <row r="50" ht="27" customHeight="1">
      <c r="A50" s="5" t="n"/>
      <c r="B50" s="5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5" t="n"/>
    </row>
    <row r="51" ht="27" customHeight="1">
      <c r="A51" s="5" t="n"/>
      <c r="B51" s="5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5" t="n"/>
    </row>
    <row r="52" ht="27" customHeight="1">
      <c r="A52" s="5" t="n"/>
      <c r="B52" s="5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5" t="n"/>
    </row>
    <row r="53" ht="27" customHeight="1">
      <c r="A53" s="5" t="n"/>
      <c r="B53" s="5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5" t="n"/>
    </row>
    <row r="54" ht="27" customHeight="1">
      <c r="A54" s="5" t="n"/>
      <c r="B54" s="5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5" t="n"/>
    </row>
  </sheetData>
  <autoFilter ref="A4:L54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1" customWidth="1" min="1" max="1"/>
    <col width="19" customWidth="1" min="2" max="2"/>
    <col width="18" customWidth="1" min="3" max="3"/>
    <col width="18" customWidth="1" min="4" max="4"/>
    <col width="18" customWidth="1" min="5" max="5"/>
    <col width="21" customWidth="1" min="6" max="6"/>
    <col width="48" customWidth="1" min="7" max="7"/>
    <col width="18" customWidth="1" min="8" max="8"/>
  </cols>
  <sheetData>
    <row r="1" ht="32" customHeight="1">
      <c r="A1" s="1" t="inlineStr">
        <is>
          <t>Resumo de custo da migração AWS</t>
        </is>
      </c>
    </row>
    <row r="2" ht="32" customHeight="1">
      <c r="A2" s="2" t="inlineStr">
        <is>
          <t>Todos os valores são estimativas com preços públicos AWS. Altere a chave ao lado de outbound para FALSE para excluí-lo dos totais.</t>
        </is>
      </c>
    </row>
    <row r="4">
      <c r="A4" s="3" t="inlineStr">
        <is>
          <t>Métrica</t>
        </is>
      </c>
      <c r="B4" s="3" t="inlineStr">
        <is>
          <t>Quantidade</t>
        </is>
      </c>
      <c r="C4" s="3" t="inlineStr">
        <is>
          <t>Unidade</t>
        </is>
      </c>
      <c r="D4" s="3" t="inlineStr">
        <is>
          <t>Tarifa usada</t>
        </is>
      </c>
      <c r="E4" s="3" t="inlineStr">
        <is>
          <t>Fonte da tarifa</t>
        </is>
      </c>
      <c r="F4" s="3" t="inlineStr">
        <is>
          <t>Custo estimado</t>
        </is>
      </c>
      <c r="G4" s="3" t="inlineStr">
        <is>
          <t>Cálculo / observação</t>
        </is>
      </c>
      <c r="H4" s="3" t="inlineStr">
        <is>
          <t>Incluir outbound?</t>
        </is>
      </c>
    </row>
    <row r="5" ht="27" customHeight="1">
      <c r="A5" s="4" t="inlineStr">
        <is>
          <t>Recuperação Deep Archive BULK</t>
        </is>
      </c>
      <c r="B5" s="11">
        <f>'Dados da transferência'!B8*1000*'Dados da transferência'!B10</f>
        <v/>
      </c>
      <c r="C5" s="4" t="inlineStr">
        <is>
          <t>GB / onda</t>
        </is>
      </c>
      <c r="D5" s="12">
        <f>VLOOKUP('Dados da transferência'!B5,'Tarifas por região'!A:L,5,FALSE)</f>
        <v/>
      </c>
      <c r="E5" s="4" t="inlineStr">
        <is>
          <t>AWS pública</t>
        </is>
      </c>
      <c r="F5" s="13">
        <f>IF('Dados da transferência'!B11="BULK",IFERROR(B5*D5,"Não precificado"),0)</f>
        <v/>
      </c>
      <c r="G5" s="4" t="inlineStr">
        <is>
          <t>Somente a parcela em Deep Archive.</t>
        </is>
      </c>
      <c r="H5" s="4" t="inlineStr">
        <is>
          <t>—</t>
        </is>
      </c>
    </row>
    <row r="6" ht="27" customHeight="1">
      <c r="A6" s="4" t="inlineStr">
        <is>
          <t>Recuperação Deep Archive STANDARD</t>
        </is>
      </c>
      <c r="B6" s="11">
        <f>'Dados da transferência'!B8*1000*'Dados da transferência'!B10</f>
        <v/>
      </c>
      <c r="C6" s="4" t="inlineStr">
        <is>
          <t>GB / onda</t>
        </is>
      </c>
      <c r="D6" s="12">
        <f>VLOOKUP('Dados da transferência'!B5,'Tarifas por região'!A:L,6,FALSE)</f>
        <v/>
      </c>
      <c r="E6" s="4" t="inlineStr">
        <is>
          <t>AWS pública</t>
        </is>
      </c>
      <c r="F6" s="13">
        <f>IF('Dados da transferência'!B11="STANDARD",IFERROR(B6*D6,"Não precificado"),0)</f>
        <v/>
      </c>
      <c r="G6" s="4" t="inlineStr">
        <is>
          <t>Somente a parcela em Deep Archive.</t>
        </is>
      </c>
      <c r="H6" s="4" t="inlineStr">
        <is>
          <t>—</t>
        </is>
      </c>
    </row>
    <row r="7" ht="27" customHeight="1">
      <c r="A7" s="4" t="inlineStr">
        <is>
          <t>Cópia temporária restaurada</t>
        </is>
      </c>
      <c r="B7" s="11">
        <f>'Dados da transferência'!B8*1000*'Dados da transferência'!B10*'Dados da transferência'!B12/(24*30)</f>
        <v/>
      </c>
      <c r="C7" s="4" t="inlineStr">
        <is>
          <t>GB-mês / onda</t>
        </is>
      </c>
      <c r="D7" s="12">
        <f>VLOOKUP('Dados da transferência'!B5,'Tarifas por região'!A:L,7,FALSE)</f>
        <v/>
      </c>
      <c r="E7" s="4" t="inlineStr">
        <is>
          <t>AWS pública</t>
        </is>
      </c>
      <c r="F7" s="13">
        <f>IFERROR(B7*D7,"Não precificado")</f>
        <v/>
      </c>
      <c r="G7" s="4" t="inlineStr">
        <is>
          <t>Cópia S3 Standard temporária após o restore; a retenção em horas é convertida para mês.</t>
        </is>
      </c>
      <c r="H7" s="4" t="inlineStr">
        <is>
          <t>—</t>
        </is>
      </c>
    </row>
    <row r="8" ht="27" customHeight="1">
      <c r="A8" s="4" t="inlineStr">
        <is>
          <t>S3 Batch Operations</t>
        </is>
      </c>
      <c r="B8" s="11">
        <f>1</f>
        <v/>
      </c>
      <c r="C8" s="4" t="inlineStr">
        <is>
          <t>job / onda</t>
        </is>
      </c>
      <c r="D8" s="12">
        <f>VLOOKUP('Dados da transferência'!B5,'Tarifas por região'!A:L,10,FALSE)</f>
        <v/>
      </c>
      <c r="E8" s="4" t="inlineStr">
        <is>
          <t>AWS pública</t>
        </is>
      </c>
      <c r="F8" s="13">
        <f>IFERROR(B8*D8,"Não precificado")</f>
        <v/>
      </c>
      <c r="G8" s="4" t="inlineStr">
        <is>
          <t>Um job de restore por onda arquivada.</t>
        </is>
      </c>
      <c r="H8" s="4" t="inlineStr">
        <is>
          <t>—</t>
        </is>
      </c>
    </row>
    <row r="9" ht="27" customHeight="1">
      <c r="A9" s="4" t="inlineStr">
        <is>
          <t>Tarefas de objeto S3 Batch</t>
        </is>
      </c>
      <c r="B9" s="11">
        <f>ROUNDUP('Dados da transferência'!B7/'Dados da transferência'!B9,0)</f>
        <v/>
      </c>
      <c r="C9" s="4" t="inlineStr">
        <is>
          <t>objetos / onda</t>
        </is>
      </c>
      <c r="D9" s="12">
        <f>VLOOKUP('Dados da transferência'!B5,'Tarifas por região'!A:L,11,FALSE)/1000</f>
        <v/>
      </c>
      <c r="E9" s="4" t="inlineStr">
        <is>
          <t>AWS pública</t>
        </is>
      </c>
      <c r="F9" s="13">
        <f>IFERROR(B9*D9,"Não precificado")</f>
        <v/>
      </c>
      <c r="G9" s="4" t="inlineStr">
        <is>
          <t>Tarifa de objeto normalizada para uma unidade.</t>
        </is>
      </c>
      <c r="H9" s="4" t="inlineStr">
        <is>
          <t>—</t>
        </is>
      </c>
    </row>
    <row r="10" ht="27" customHeight="1">
      <c r="A10" s="4" t="inlineStr">
        <is>
          <t>Discovery e polling de restore</t>
        </is>
      </c>
      <c r="B10" s="11">
        <f>(ROUNDUP('Dados da transferência'!B7/1000,0)*'Dados da transferência'!B13)+ROUNDUP('Dados da transferência'!B7/'Dados da transferência'!B9/1000,0)</f>
        <v/>
      </c>
      <c r="C10" s="4" t="inlineStr">
        <is>
          <t>solicitações / onda</t>
        </is>
      </c>
      <c r="D10" s="12">
        <f>VLOOKUP('Dados da transferência'!B5,'Tarifas por região'!A:L,8,FALSE)/1000</f>
        <v/>
      </c>
      <c r="E10" s="4" t="inlineStr">
        <is>
          <t>AWS pública</t>
        </is>
      </c>
      <c r="F10" s="13">
        <f>IFERROR(B10*D10,"Não precificado")</f>
        <v/>
      </c>
      <c r="G10" s="4" t="inlineStr">
        <is>
          <t>Estimativa conservadora baseada em ListObjectsV2.</t>
        </is>
      </c>
      <c r="H10" s="4" t="inlineStr">
        <is>
          <t>—</t>
        </is>
      </c>
    </row>
    <row r="11" ht="27" customHeight="1">
      <c r="A11" s="4" t="inlineStr">
        <is>
          <t>Leituras de objetos S3</t>
        </is>
      </c>
      <c r="B11" s="11">
        <f>ROUNDUP('Dados da transferência'!B7/'Dados da transferência'!B9,0)</f>
        <v/>
      </c>
      <c r="C11" s="4" t="inlineStr">
        <is>
          <t>solicitações / onda</t>
        </is>
      </c>
      <c r="D11" s="12">
        <f>VLOOKUP('Dados da transferência'!B5,'Tarifas por região'!A:L,9,FALSE)/1000</f>
        <v/>
      </c>
      <c r="E11" s="4" t="inlineStr">
        <is>
          <t>AWS pública</t>
        </is>
      </c>
      <c r="F11" s="13">
        <f>IFERROR(B11*D11,"Não precificado")</f>
        <v/>
      </c>
      <c r="G11" s="4" t="inlineStr">
        <is>
          <t>Um GetObject em streaming por arquivo.</t>
        </is>
      </c>
      <c r="H11" s="4" t="inlineStr">
        <is>
          <t>—</t>
        </is>
      </c>
    </row>
    <row r="12" ht="27" customHeight="1">
      <c r="A12" s="4" t="inlineStr">
        <is>
          <t>Leituras de tags S3</t>
        </is>
      </c>
      <c r="B12" s="11">
        <f>ROUNDUP('Dados da transferência'!B7/'Dados da transferência'!B9,0)</f>
        <v/>
      </c>
      <c r="C12" s="4" t="inlineStr">
        <is>
          <t>solicitações / onda</t>
        </is>
      </c>
      <c r="D12" s="12">
        <f>VLOOKUP('Dados da transferência'!B5,'Tarifas por região'!A:L,9,FALSE)/1000</f>
        <v/>
      </c>
      <c r="E12" s="4" t="inlineStr">
        <is>
          <t>AWS pública</t>
        </is>
      </c>
      <c r="F12" s="13">
        <f>IF('Dados da transferência'!B14,IFERROR(B12*D12,"Não precificado"),0)</f>
        <v/>
      </c>
      <c r="G12" s="4" t="inlineStr">
        <is>
          <t>Somente se a preservação de tags estiver habilitada.</t>
        </is>
      </c>
      <c r="H12" s="4" t="inlineStr">
        <is>
          <t>—</t>
        </is>
      </c>
    </row>
    <row r="13" ht="27" customHeight="1">
      <c r="A13" s="4" t="inlineStr">
        <is>
          <t>Outbound AWS</t>
        </is>
      </c>
      <c r="B13" s="11">
        <f>'Dados da transferência'!B8*1000</f>
        <v/>
      </c>
      <c r="C13" s="4" t="inlineStr">
        <is>
          <t>GB / onda</t>
        </is>
      </c>
      <c r="D13" s="12">
        <f>VLOOKUP('Dados da transferência'!B5,'Tarifas por região'!A:L,3,FALSE)</f>
        <v/>
      </c>
      <c r="E13" s="4" t="inlineStr">
        <is>
          <t>AWS pública</t>
        </is>
      </c>
      <c r="F13" s="13">
        <f>IF(H13,IFERROR(B13*D13,"Não precificado"),0)</f>
        <v/>
      </c>
      <c r="G13" s="4" t="inlineStr">
        <is>
          <t>Use a chave para incluir ou excluir outbound.</t>
        </is>
      </c>
      <c r="H13" s="5" t="b">
        <v>1</v>
      </c>
    </row>
    <row r="14" ht="27" customHeight="1">
      <c r="A14" s="4" t="inlineStr">
        <is>
          <t>Exclusão antecipada Deep Archive</t>
        </is>
      </c>
      <c r="B14" s="11">
        <f>'Dados da transferência'!B15*1000*MAX(0,180-'Dados da transferência'!B16)/30</f>
        <v/>
      </c>
      <c r="C14" s="4" t="inlineStr">
        <is>
          <t>GB-mês / projeto</t>
        </is>
      </c>
      <c r="D14" s="12">
        <f>VLOOKUP('Dados da transferência'!B5,'Tarifas por região'!A:L,4,FALSE)</f>
        <v/>
      </c>
      <c r="E14" s="4" t="inlineStr">
        <is>
          <t>AWS pública</t>
        </is>
      </c>
      <c r="F14" s="13">
        <f>IF('Dados da transferência'!B15&gt;0,IFERROR(B14*D14,"Não precificado"),0)</f>
        <v/>
      </c>
      <c r="G14" s="4" t="inlineStr">
        <is>
          <t>Estimativa da exclusão antecipada para todo o projeto.</t>
        </is>
      </c>
      <c r="H14" s="4" t="inlineStr">
        <is>
          <t>—</t>
        </is>
      </c>
    </row>
    <row r="16" ht="30" customHeight="1">
      <c r="A16" s="14" t="inlineStr">
        <is>
          <t>Custo único por wave</t>
        </is>
      </c>
      <c r="B16" s="4" t="n"/>
      <c r="C16" s="4" t="n"/>
      <c r="D16" s="4" t="n"/>
      <c r="E16" s="4" t="n"/>
      <c r="F16" s="15">
        <f>SUM(F5:F13)</f>
        <v/>
      </c>
      <c r="G16" s="4" t="n"/>
      <c r="H16" s="4" t="n"/>
    </row>
    <row r="17" ht="30" customHeight="1">
      <c r="A17" s="14" t="inlineStr">
        <is>
          <t>Custo único do projeto</t>
        </is>
      </c>
      <c r="B17" s="4" t="n"/>
      <c r="C17" s="4" t="n"/>
      <c r="D17" s="4" t="n"/>
      <c r="E17" s="4" t="n"/>
      <c r="F17" s="15">
        <f>F16*'Dados da transferência'!B9+F14</f>
        <v/>
      </c>
      <c r="G17" s="4" t="n"/>
      <c r="H17" s="4" t="n"/>
    </row>
    <row r="19" ht="34" customHeight="1">
      <c r="A19" s="14" t="inlineStr">
        <is>
          <t>Tempo estimado para transferir todos os dados</t>
        </is>
      </c>
      <c r="B19" s="16">
        <f>INT(ROUND('Dados da transferência'!B6*8000000/'Dados da transferência'!B17/3600,0)/(24*30))&amp;" meses, "&amp;INT(MOD(ROUND('Dados da transferência'!B6*8000000/'Dados da transferência'!B17/3600,0),24*30)/24)&amp;" dias e "&amp;MOD(ROUND('Dados da transferência'!B6*8000000/'Dados da transferência'!B17/3600,0),24)&amp;" horas"</f>
        <v/>
      </c>
      <c r="C19" s="4" t="inlineStr">
        <is>
          <t>meses, dias e horas</t>
        </is>
      </c>
      <c r="D19" s="4" t="n"/>
      <c r="E19" s="4" t="n"/>
      <c r="F19" s="4" t="n"/>
      <c r="G19" s="4" t="inlineStr">
        <is>
          <t>Baseado no volume total e na vazão efetiva configurada. Mês operacional = 30 dias. Não inclui restore, filas, pausas, retries ou validações.</t>
        </is>
      </c>
      <c r="H19" s="4" t="n"/>
    </row>
  </sheetData>
  <mergeCells count="2">
    <mergeCell ref="A2:H2"/>
    <mergeCell ref="A1:H1"/>
  </mergeCells>
  <dataValidations count="1">
    <dataValidation sqref="H13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2026-08-19T13:30:40Z</dcterms:created>
  <dcterms:modified xsi:type="dcterms:W3CDTF">2026-08-19T13:30:40Z</dcterms:modified>
</cp:coreProperties>
</file>