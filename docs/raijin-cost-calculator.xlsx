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ariffs by region" sheetId="2" state="visible" r:id="rId2"/>
    <sheet name="Main inputs" sheetId="3" state="visible" r:id="rId3"/>
    <sheet name="AWS estimate" sheetId="4" state="visible" r:id="rId4"/>
    <sheet name="OCI estimate" sheetId="5" state="visible" r:id="rId5"/>
    <sheet name="Early Deep Archive delete" sheetId="6" state="visible" r:id="rId6"/>
    <sheet name="Summary" sheetId="7" state="visible" r:id="rId7"/>
  </sheets>
  <definedNames>
    <definedName name="_xlnm._FilterDatabase" localSheetId="1" hidden="1">'Tariffs by region'!$A$4:$O$54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US$ #,##0.00;[Red]-US$ #,##0.00;—"/>
    <numFmt numFmtId="165" formatCode="#,##0.00;[Red]-#,##0.00;—"/>
    <numFmt numFmtId="166" formatCode="#,##0.0000;[Red]-#,##0.0000;—"/>
    <numFmt numFmtId="167" formatCode="#,##0.0;[Red]-#,##0.0;—"/>
    <numFmt numFmtId="168" formatCode="#,##0.;[Red]-#,##0.;—"/>
  </numFmts>
  <fonts count="8">
    <font>
      <name val="Calibri"/>
      <family val="2"/>
      <color theme="1"/>
      <sz val="11"/>
      <scheme val="minor"/>
    </font>
    <font>
      <b val="1"/>
      <color rgb="00F8FAFC"/>
      <sz val="18"/>
    </font>
    <font>
      <i val="1"/>
      <color rgb="00C5D2E8"/>
    </font>
    <font>
      <b val="1"/>
      <color rgb="00F8FAFC"/>
    </font>
    <font>
      <color rgb="00F8FAFC"/>
    </font>
    <font>
      <color rgb="00111827"/>
    </font>
    <font>
      <b val="1"/>
      <color rgb="00111827"/>
    </font>
    <font>
      <b val="1"/>
      <color rgb="00F8FAFC"/>
      <sz val="14"/>
    </font>
  </fonts>
  <fills count="10">
    <fill>
      <patternFill/>
    </fill>
    <fill>
      <patternFill patternType="gray125"/>
    </fill>
    <fill>
      <patternFill patternType="solid">
        <fgColor rgb="00101A2D"/>
      </patternFill>
    </fill>
    <fill>
      <patternFill patternType="solid">
        <fgColor rgb="0019263E"/>
      </patternFill>
    </fill>
    <fill>
      <patternFill patternType="solid">
        <fgColor rgb="003B82F6"/>
      </patternFill>
    </fill>
    <fill>
      <patternFill patternType="solid">
        <fgColor rgb="00FFF2CC"/>
      </patternFill>
    </fill>
    <fill>
      <patternFill patternType="solid">
        <fgColor rgb="00B7791F"/>
      </patternFill>
    </fill>
    <fill>
      <patternFill patternType="solid">
        <fgColor rgb="0014B8A6"/>
      </patternFill>
    </fill>
    <fill>
      <patternFill patternType="solid">
        <fgColor rgb="00166534"/>
      </patternFill>
    </fill>
    <fill>
      <patternFill patternType="solid">
        <fgColor rgb="00E87D18"/>
      </patternFill>
    </fill>
  </fills>
  <borders count="2">
    <border>
      <left/>
      <right/>
      <top/>
      <bottom/>
      <diagonal/>
    </border>
    <border>
      <left style="thin">
        <color rgb="004B5E7A"/>
      </left>
      <right style="thin">
        <color rgb="004B5E7A"/>
      </right>
      <top style="thin">
        <color rgb="004B5E7A"/>
      </top>
      <bottom style="thin">
        <color rgb="004B5E7A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164" fontId="5" fillId="5" borderId="1" applyAlignment="1" pivotButton="0" quotePrefix="0" xfId="0">
      <alignment vertical="center" wrapText="1"/>
    </xf>
    <xf numFmtId="165" fontId="4" fillId="3" borderId="1" applyAlignment="1" pivotButton="0" quotePrefix="0" xfId="0">
      <alignment vertical="center" wrapText="1"/>
    </xf>
    <xf numFmtId="165" fontId="6" fillId="6" borderId="1" applyAlignment="1" pivotButton="0" quotePrefix="0" xfId="0">
      <alignment vertical="center" wrapText="1"/>
    </xf>
    <xf numFmtId="164" fontId="6" fillId="7" borderId="1" applyAlignment="1" pivotButton="0" quotePrefix="0" xfId="0">
      <alignment vertical="center" wrapText="1"/>
    </xf>
    <xf numFmtId="166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164" fontId="7" fillId="8" borderId="1" applyAlignment="1" pivotButton="0" quotePrefix="0" xfId="0">
      <alignment vertical="center" wrapText="1"/>
    </xf>
    <xf numFmtId="166" fontId="5" fillId="5" borderId="1" applyAlignment="1" pivotButton="0" quotePrefix="0" xfId="0">
      <alignment vertical="center" wrapText="1"/>
    </xf>
    <xf numFmtId="167" fontId="5" fillId="5" borderId="1" applyAlignment="1" pivotButton="0" quotePrefix="0" xfId="0">
      <alignment vertical="center" wrapText="1"/>
    </xf>
    <xf numFmtId="167" fontId="4" fillId="3" borderId="1" applyAlignment="1" pivotButton="0" quotePrefix="0" xfId="0">
      <alignment vertical="center" wrapText="1"/>
    </xf>
    <xf numFmtId="164" fontId="7" fillId="9" borderId="1" applyAlignment="1" pivotButton="0" quotePrefix="0" xfId="0">
      <alignment vertical="center" wrapText="1"/>
    </xf>
    <xf numFmtId="168" fontId="4" fillId="3" borderId="1" applyAlignment="1" pivotButton="0" quotePrefix="0" xfId="0">
      <alignment vertical="center" wrapText="1"/>
    </xf>
    <xf numFmtId="0" fontId="7" fillId="4" borderId="0" pivotButton="0" quotePrefix="0" xfId="0"/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10" customWidth="1" min="2" max="2"/>
  </cols>
  <sheetData>
    <row r="1" ht="32" customHeight="1">
      <c r="A1" s="1" t="inlineStr">
        <is>
          <t>RAIJIN — Migration Cost Calculator</t>
        </is>
      </c>
    </row>
    <row r="2" ht="34" customHeight="1">
      <c r="A2" s="2" t="inlineStr">
        <is>
          <t>Editable estimate for AWS S3 / Glacier Deep Archive to OCI Object Storage. Yellow cells are inputs; formulas are protected only by convention, not by password.</t>
        </is>
      </c>
    </row>
    <row r="4">
      <c r="A4" s="3" t="inlineStr">
        <is>
          <t>Step</t>
        </is>
      </c>
      <c r="B4" s="3" t="inlineStr">
        <is>
          <t>How to use</t>
        </is>
      </c>
    </row>
    <row r="5" ht="44" customHeight="1">
      <c r="A5" s="4" t="inlineStr">
        <is>
          <t>1. Tariffs</t>
        </is>
      </c>
      <c r="B5" s="4" t="inlineStr">
        <is>
          <t>Maintain public or contracted rates by region in ‘Tariffs by region’. The sa-east-1 starter values were collected by Raijin on 2026-08-19; validate them before approving spend.</t>
        </is>
      </c>
    </row>
    <row r="6" ht="44" customHeight="1">
      <c r="A6" s="4" t="inlineStr">
        <is>
          <t>2. Main inputs</t>
        </is>
      </c>
      <c r="B6" s="4" t="inlineStr">
        <is>
          <t>Select the AWS region and enter data volume, object count, wave size, archive mix, restore tier, retention and FastConnect/Direct Connect assumptions.</t>
        </is>
      </c>
    </row>
    <row r="7" ht="44" customHeight="1">
      <c r="A7" s="4" t="inlineStr">
        <is>
          <t>3. AWS estimate</t>
        </is>
      </c>
      <c r="B7" s="4" t="inlineStr">
        <is>
          <t>Shows charged AWS-side components. Outbound is optional and can use a specific FastConnect/Direct Connect rate when entered.</t>
        </is>
      </c>
    </row>
    <row r="8" ht="44" customHeight="1">
      <c r="A8" s="4" t="inlineStr">
        <is>
          <t>4. OCI estimate</t>
        </is>
      </c>
      <c r="B8" s="4" t="inlineStr">
        <is>
          <t>Separates one-time write requests, storage accrued while data arrives, and the recurring final Object Storage cost.</t>
        </is>
      </c>
    </row>
    <row r="9" ht="44" customHeight="1">
      <c r="A9" s="4" t="inlineStr">
        <is>
          <t>5. Early delete</t>
        </is>
      </c>
      <c r="B9" s="4" t="inlineStr">
        <is>
          <t>Add one or more groups of Deep Archive objects by volume and average archive age. The model calculates the 180-day minimum-storage remainder.</t>
        </is>
      </c>
    </row>
    <row r="10" ht="44" customHeight="1">
      <c r="A10" s="4" t="inlineStr">
        <is>
          <t>6. Summary</t>
        </is>
      </c>
      <c r="B10" s="4" t="inlineStr">
        <is>
          <t>Use this tab for the executive view. It intentionally keeps recurring OCI storage separate from one-time migration costs.</t>
        </is>
      </c>
    </row>
    <row r="11" ht="44" customHeight="1">
      <c r="A11" s="4" t="inlineStr">
        <is>
          <t>Important</t>
        </is>
      </c>
      <c r="B11" s="4" t="inlineStr">
        <is>
          <t>All TB/GB inputs use decimal units (1 TB = 1,000 GB), matching cloud price-list units. Taxes, credits, enterprise discounts, source-storage charges, VM cost and partner circuit charges are excluded unless you add them manually.</t>
        </is>
      </c>
    </row>
  </sheetData>
  <mergeCells count="2">
    <mergeCell ref="A2:H2"/>
    <mergeCell ref="A1:H1"/>
  </mergeCells>
  <pageMargins left="0.25" right="0.2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5" customWidth="1" min="3" max="3"/>
    <col width="24" customWidth="1" min="4" max="4"/>
    <col width="20" customWidth="1" min="5" max="5"/>
    <col width="23" customWidth="1" min="6" max="6"/>
    <col width="27" customWidth="1" min="7" max="7"/>
    <col width="26" customWidth="1" min="8" max="8"/>
    <col width="17" customWidth="1" min="9" max="9"/>
    <col width="17" customWidth="1" min="10" max="10"/>
    <col width="15" customWidth="1" min="11" max="11"/>
    <col width="20" customWidth="1" min="12" max="12"/>
    <col width="22" customWidth="1" min="13" max="13"/>
    <col width="17" customWidth="1" min="14" max="14"/>
    <col width="42" customWidth="1" min="15" max="15"/>
  </cols>
  <sheetData>
    <row r="1" ht="32" customHeight="1">
      <c r="A1" s="1" t="inlineStr">
        <is>
          <t>Tariffs by region</t>
        </is>
      </c>
    </row>
    <row r="2" ht="34" customHeight="1">
      <c r="A2" s="2" t="inlineStr">
        <is>
          <t>Enter public list prices or contract rates. A blank rate causes the associated calculation to show ‘Not priced’ rather than assume zero.</t>
        </is>
      </c>
    </row>
    <row r="4">
      <c r="A4" s="3" t="inlineStr">
        <is>
          <t>AWS region</t>
        </is>
      </c>
      <c r="B4" s="3" t="inlineStr">
        <is>
          <t>Currency</t>
        </is>
      </c>
      <c r="C4" s="3" t="inlineStr">
        <is>
          <t>AWS outbound
USD/GB</t>
        </is>
      </c>
      <c r="D4" s="3" t="inlineStr">
        <is>
          <t>FastConnect / Direct Connect
outbound USD/GB</t>
        </is>
      </c>
      <c r="E4" s="3" t="inlineStr">
        <is>
          <t>Deep Archive storage
USD/GB-month</t>
        </is>
      </c>
      <c r="F4" s="3" t="inlineStr">
        <is>
          <t>Deep Archive BULK retrieval
USD/GB</t>
        </is>
      </c>
      <c r="G4" s="3" t="inlineStr">
        <is>
          <t>Deep Archive STANDARD retrieval
USD/GB</t>
        </is>
      </c>
      <c r="H4" s="3" t="inlineStr">
        <is>
          <t>Temporary S3 Standard restore
USD/GB-month</t>
        </is>
      </c>
      <c r="I4" s="3" t="inlineStr">
        <is>
          <t>S3 PUT/LIST
USD/1,000</t>
        </is>
      </c>
      <c r="J4" s="3" t="inlineStr">
        <is>
          <t>S3 GET/TAG
USD/1,000</t>
        </is>
      </c>
      <c r="K4" s="3" t="inlineStr">
        <is>
          <t>Batch job
USD/job</t>
        </is>
      </c>
      <c r="L4" s="3" t="inlineStr">
        <is>
          <t>Batch object
USD/1,000</t>
        </is>
      </c>
      <c r="M4" s="3" t="inlineStr">
        <is>
          <t>OCI Standard storage
USD/GB-month</t>
        </is>
      </c>
      <c r="N4" s="3" t="inlineStr">
        <is>
          <t>OCI writes
USD/10,000</t>
        </is>
      </c>
      <c r="O4" s="3" t="inlineStr">
        <is>
          <t>Notes / source</t>
        </is>
      </c>
    </row>
    <row r="5">
      <c r="A5" s="5" t="inlineStr">
        <is>
          <t>sa-east-1</t>
        </is>
      </c>
      <c r="B5" s="5" t="inlineStr">
        <is>
          <t>USD</t>
        </is>
      </c>
      <c r="C5" s="6" t="n">
        <v>0.15</v>
      </c>
      <c r="D5" s="6" t="n"/>
      <c r="E5" s="6" t="n"/>
      <c r="F5" s="6" t="n">
        <v>0.008</v>
      </c>
      <c r="G5" s="6" t="n">
        <v>0.028</v>
      </c>
      <c r="H5" s="6" t="n">
        <v>0.0405</v>
      </c>
      <c r="I5" s="6" t="n">
        <v>0.007</v>
      </c>
      <c r="J5" s="6" t="n">
        <v>0.00056</v>
      </c>
      <c r="K5" s="6" t="n">
        <v>0.25</v>
      </c>
      <c r="L5" s="6" t="n">
        <v>1.5e-05</v>
      </c>
      <c r="M5" s="6" t="n">
        <v>0.0255</v>
      </c>
      <c r="N5" s="6" t="n">
        <v>0.0034</v>
      </c>
      <c r="O5" s="5" t="inlineStr">
        <is>
          <t>Raijin public-price collection 2026-08-19; confirm contract and Deep Archive storage price.</t>
        </is>
      </c>
    </row>
    <row r="6">
      <c r="A6" s="5" t="inlineStr">
        <is>
          <t>us-east-1</t>
        </is>
      </c>
      <c r="B6" s="5" t="inlineStr">
        <is>
          <t>USD</t>
        </is>
      </c>
      <c r="C6" s="6" t="n">
        <v>0.09</v>
      </c>
      <c r="D6" s="6" t="n"/>
      <c r="E6" s="6" t="n"/>
      <c r="F6" s="6" t="n">
        <v>0.0025</v>
      </c>
      <c r="G6" s="6" t="n">
        <v>0.02</v>
      </c>
      <c r="H6" s="6" t="n">
        <v>0.0125</v>
      </c>
      <c r="I6" s="6" t="n">
        <v>0.055</v>
      </c>
      <c r="J6" s="6" t="n">
        <v>0.0004</v>
      </c>
      <c r="K6" s="6" t="n">
        <v>0.25</v>
      </c>
      <c r="L6" s="6" t="n">
        <v>0.001</v>
      </c>
      <c r="M6" s="6" t="n">
        <v>0.0255</v>
      </c>
      <c r="N6" s="6" t="n">
        <v>0.0034</v>
      </c>
      <c r="O6" s="5" t="inlineStr">
        <is>
          <t>Example only; refresh with the applicable public or contracted rate.</t>
        </is>
      </c>
    </row>
    <row r="7">
      <c r="A7" s="5" t="n"/>
      <c r="B7" s="5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5" t="n"/>
    </row>
    <row r="8">
      <c r="A8" s="5" t="n"/>
      <c r="B8" s="5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5" t="n"/>
    </row>
    <row r="9">
      <c r="A9" s="5" t="n"/>
      <c r="B9" s="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5" t="n"/>
    </row>
    <row r="10">
      <c r="A10" s="5" t="n"/>
      <c r="B10" s="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5" t="n"/>
    </row>
    <row r="11">
      <c r="A11" s="5" t="n"/>
      <c r="B11" s="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5" t="n"/>
    </row>
    <row r="12">
      <c r="A12" s="5" t="n"/>
      <c r="B12" s="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5" t="n"/>
    </row>
    <row r="13">
      <c r="A13" s="5" t="n"/>
      <c r="B13" s="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5" t="n"/>
    </row>
    <row r="14">
      <c r="A14" s="5" t="n"/>
      <c r="B14" s="5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5" t="n"/>
    </row>
    <row r="15">
      <c r="A15" s="5" t="n"/>
      <c r="B15" s="5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5" t="n"/>
    </row>
    <row r="16">
      <c r="A16" s="5" t="n"/>
      <c r="B16" s="5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5" t="n"/>
    </row>
    <row r="17">
      <c r="A17" s="5" t="n"/>
      <c r="B17" s="5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5" t="n"/>
    </row>
    <row r="18">
      <c r="A18" s="5" t="n"/>
      <c r="B18" s="5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5" t="n"/>
    </row>
    <row r="19">
      <c r="A19" s="5" t="n"/>
      <c r="B19" s="5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5" t="n"/>
    </row>
    <row r="20">
      <c r="A20" s="5" t="n"/>
      <c r="B20" s="5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5" t="n"/>
    </row>
    <row r="21">
      <c r="A21" s="5" t="n"/>
      <c r="B21" s="5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5" t="n"/>
    </row>
    <row r="22">
      <c r="A22" s="5" t="n"/>
      <c r="B22" s="5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5" t="n"/>
    </row>
    <row r="23">
      <c r="A23" s="5" t="n"/>
      <c r="B23" s="5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5" t="n"/>
    </row>
    <row r="24">
      <c r="A24" s="5" t="n"/>
      <c r="B24" s="5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5" t="n"/>
    </row>
    <row r="25">
      <c r="A25" s="5" t="n"/>
      <c r="B25" s="5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5" t="n"/>
    </row>
    <row r="26">
      <c r="A26" s="5" t="n"/>
      <c r="B26" s="5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5" t="n"/>
    </row>
    <row r="27">
      <c r="A27" s="5" t="n"/>
      <c r="B27" s="5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5" t="n"/>
    </row>
    <row r="28">
      <c r="A28" s="5" t="n"/>
      <c r="B28" s="5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5" t="n"/>
    </row>
    <row r="29">
      <c r="A29" s="5" t="n"/>
      <c r="B29" s="5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5" t="n"/>
    </row>
    <row r="30">
      <c r="A30" s="5" t="n"/>
      <c r="B30" s="5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5" t="n"/>
    </row>
    <row r="31">
      <c r="A31" s="5" t="n"/>
      <c r="B31" s="5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5" t="n"/>
    </row>
    <row r="32">
      <c r="A32" s="5" t="n"/>
      <c r="B32" s="5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5" t="n"/>
    </row>
    <row r="33">
      <c r="A33" s="5" t="n"/>
      <c r="B33" s="5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5" t="n"/>
    </row>
    <row r="34">
      <c r="A34" s="5" t="n"/>
      <c r="B34" s="5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5" t="n"/>
    </row>
    <row r="35">
      <c r="A35" s="5" t="n"/>
      <c r="B35" s="5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5" t="n"/>
    </row>
    <row r="36">
      <c r="A36" s="5" t="n"/>
      <c r="B36" s="5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5" t="n"/>
    </row>
    <row r="37">
      <c r="A37" s="5" t="n"/>
      <c r="B37" s="5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5" t="n"/>
    </row>
    <row r="38">
      <c r="A38" s="5" t="n"/>
      <c r="B38" s="5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5" t="n"/>
    </row>
    <row r="39">
      <c r="A39" s="5" t="n"/>
      <c r="B39" s="5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5" t="n"/>
    </row>
    <row r="40">
      <c r="A40" s="5" t="n"/>
      <c r="B40" s="5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5" t="n"/>
    </row>
    <row r="41">
      <c r="A41" s="5" t="n"/>
      <c r="B41" s="5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5" t="n"/>
    </row>
    <row r="42">
      <c r="A42" s="5" t="n"/>
      <c r="B42" s="5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5" t="n"/>
    </row>
    <row r="43">
      <c r="A43" s="5" t="n"/>
      <c r="B43" s="5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5" t="n"/>
    </row>
    <row r="44">
      <c r="A44" s="5" t="n"/>
      <c r="B44" s="5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5" t="n"/>
    </row>
    <row r="45">
      <c r="A45" s="5" t="n"/>
      <c r="B45" s="5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5" t="n"/>
    </row>
    <row r="46">
      <c r="A46" s="5" t="n"/>
      <c r="B46" s="5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5" t="n"/>
    </row>
    <row r="47">
      <c r="A47" s="5" t="n"/>
      <c r="B47" s="5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5" t="n"/>
    </row>
    <row r="48">
      <c r="A48" s="5" t="n"/>
      <c r="B48" s="5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5" t="n"/>
    </row>
    <row r="49">
      <c r="A49" s="5" t="n"/>
      <c r="B49" s="5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5" t="n"/>
    </row>
    <row r="50">
      <c r="A50" s="5" t="n"/>
      <c r="B50" s="5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5" t="n"/>
    </row>
    <row r="51">
      <c r="A51" s="5" t="n"/>
      <c r="B51" s="5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5" t="n"/>
    </row>
    <row r="52">
      <c r="A52" s="5" t="n"/>
      <c r="B52" s="5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5" t="n"/>
    </row>
    <row r="53">
      <c r="A53" s="5" t="n"/>
      <c r="B53" s="5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5" t="n"/>
    </row>
    <row r="54">
      <c r="A54" s="5" t="n"/>
      <c r="B54" s="5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5" t="n"/>
    </row>
  </sheetData>
  <autoFilter ref="A4:O54"/>
  <mergeCells count="2">
    <mergeCell ref="A2:H2"/>
    <mergeCell ref="A1:H1"/>
  </mergeCells>
  <pageMargins left="0.25" right="0.2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24" customWidth="1" min="2" max="2"/>
    <col width="78" customWidth="1" min="3" max="3"/>
  </cols>
  <sheetData>
    <row r="1" ht="32" customHeight="1">
      <c r="A1" s="1" t="inlineStr">
        <is>
          <t>Main inputs</t>
        </is>
      </c>
    </row>
    <row r="2" ht="34" customHeight="1">
      <c r="A2" s="2" t="inlineStr">
        <is>
          <t>Yellow fields are intentionally customizable. Select the region first; rates are retrieved from ‘Tariffs by region’. Boolean fields are TRUE/FALSE.</t>
        </is>
      </c>
    </row>
    <row r="4">
      <c r="A4" s="3" t="inlineStr">
        <is>
          <t>Parameter</t>
        </is>
      </c>
      <c r="B4" s="3" t="inlineStr">
        <is>
          <t>Value</t>
        </is>
      </c>
      <c r="C4" s="3" t="inlineStr">
        <is>
          <t>Description</t>
        </is>
      </c>
    </row>
    <row r="5" ht="30" customHeight="1">
      <c r="A5" s="4" t="inlineStr">
        <is>
          <t>Scenario name</t>
        </is>
      </c>
      <c r="B5" s="5" t="inlineStr">
        <is>
          <t>600 TB Deep Archive migration</t>
        </is>
      </c>
      <c r="C5" s="4" t="inlineStr">
        <is>
          <t>Label used only in the workbook.</t>
        </is>
      </c>
    </row>
    <row r="6" ht="30" customHeight="1">
      <c r="A6" s="4" t="inlineStr">
        <is>
          <t>AWS region</t>
        </is>
      </c>
      <c r="B6" s="5" t="inlineStr">
        <is>
          <t>sa-east-1</t>
        </is>
      </c>
      <c r="C6" s="4" t="inlineStr">
        <is>
          <t>Must match a row in ‘Tariffs by region’ exactly.</t>
        </is>
      </c>
    </row>
    <row r="7" ht="30" customHeight="1">
      <c r="A7" s="4" t="inlineStr">
        <is>
          <t>Total data (TB)</t>
        </is>
      </c>
      <c r="B7" s="5" t="n">
        <v>600</v>
      </c>
      <c r="C7" s="4" t="inlineStr">
        <is>
          <t>Decimal TB; 1 TB = 1,000 GB.</t>
        </is>
      </c>
    </row>
    <row r="8" ht="30" customHeight="1">
      <c r="A8" s="4" t="inlineStr">
        <is>
          <t>Total objects</t>
        </is>
      </c>
      <c r="B8" s="5" t="n">
        <v>3600000</v>
      </c>
      <c r="C8" s="4" t="inlineStr">
        <is>
          <t>Total number of S3 objects in the source.</t>
        </is>
      </c>
    </row>
    <row r="9" ht="30" customHeight="1">
      <c r="A9" s="4" t="inlineStr">
        <is>
          <t>Wave size (TB)</t>
        </is>
      </c>
      <c r="B9" s="5" t="n">
        <v>5</v>
      </c>
      <c r="C9" s="4" t="inlineStr">
        <is>
          <t>Maximum data per wave. The model rounds up the wave count.</t>
        </is>
      </c>
    </row>
    <row r="10" ht="30" customHeight="1">
      <c r="A10" s="4" t="inlineStr">
        <is>
          <t>Deep Archive share</t>
        </is>
      </c>
      <c r="B10" s="5" t="n">
        <v>1</v>
      </c>
      <c r="C10" s="4" t="inlineStr">
        <is>
          <t>Share of total data in S3 DEEP_ARCHIVE. Use 1 for 100%.</t>
        </is>
      </c>
    </row>
    <row r="11" ht="30" customHeight="1">
      <c r="A11" s="4" t="inlineStr">
        <is>
          <t>Glacier Flexible share</t>
        </is>
      </c>
      <c r="B11" s="5" t="n">
        <v>0</v>
      </c>
      <c r="C11" s="4" t="inlineStr">
        <is>
          <t>Share of total data in S3 GLACIER / Flexible Retrieval.</t>
        </is>
      </c>
    </row>
    <row r="12" ht="30" customHeight="1">
      <c r="A12" s="4" t="inlineStr">
        <is>
          <t>Non-archive share</t>
        </is>
      </c>
      <c r="B12" s="5" t="n">
        <v>0</v>
      </c>
      <c r="C12" s="4" t="inlineStr">
        <is>
          <t>Share of total data already readable without restore.</t>
        </is>
      </c>
    </row>
    <row r="13" ht="30" customHeight="1">
      <c r="A13" s="4" t="inlineStr">
        <is>
          <t>Restore tier</t>
        </is>
      </c>
      <c r="B13" s="5" t="inlineStr">
        <is>
          <t>BULK</t>
        </is>
      </c>
      <c r="C13" s="4" t="inlineStr">
        <is>
          <t>BULK or STANDARD. Applies to Deep Archive and Glacier Flexible data.</t>
        </is>
      </c>
    </row>
    <row r="14" ht="30" customHeight="1">
      <c r="A14" s="4" t="inlineStr">
        <is>
          <t>Temporary restore retention (hours)</t>
        </is>
      </c>
      <c r="B14" s="5" t="n">
        <v>48</v>
      </c>
      <c r="C14" s="4" t="inlineStr">
        <is>
          <t>Retention starts after restore becomes available. 48h is the safer Deep Archive BULK default.</t>
        </is>
      </c>
    </row>
    <row r="15" ht="30" customHeight="1">
      <c r="A15" s="4" t="inlineStr">
        <is>
          <t>Expected restore poll cycles / wave</t>
        </is>
      </c>
      <c r="B15" s="5" t="n">
        <v>24</v>
      </c>
      <c r="C15" s="4" t="inlineStr">
        <is>
          <t>Adjust to the polling policy and expected restore wait.</t>
        </is>
      </c>
    </row>
    <row r="16" ht="30" customHeight="1">
      <c r="A16" s="4" t="inlineStr">
        <is>
          <t>Preserve S3 tags</t>
        </is>
      </c>
      <c r="B16" s="5" t="b">
        <v>1</v>
      </c>
      <c r="C16" s="4" t="inlineStr">
        <is>
          <t>Adds one S3 GET/TAG request per object.</t>
        </is>
      </c>
    </row>
    <row r="17" ht="30" customHeight="1">
      <c r="A17" s="4" t="inlineStr">
        <is>
          <t>Include AWS outbound</t>
        </is>
      </c>
      <c r="B17" s="5" t="b">
        <v>1</v>
      </c>
      <c r="C17" s="4" t="inlineStr">
        <is>
          <t>Turn off when outbound is billed externally or intentionally excluded.</t>
        </is>
      </c>
    </row>
    <row r="18" ht="30" customHeight="1">
      <c r="A18" s="4" t="inlineStr">
        <is>
          <t>Use FastConnect / Direct Connect outbound rate</t>
        </is>
      </c>
      <c r="B18" s="5" t="b">
        <v>1</v>
      </c>
      <c r="C18" s="4" t="inlineStr">
        <is>
          <t>Uses the optional regional circuit/egress rate when it is populated; otherwise uses standard AWS outbound.</t>
        </is>
      </c>
    </row>
    <row r="19" ht="30" customHeight="1">
      <c r="A19" s="4" t="inlineStr">
        <is>
          <t>Include OCI storage</t>
        </is>
      </c>
      <c r="B19" s="5" t="b">
        <v>1</v>
      </c>
      <c r="C19" s="4" t="inlineStr">
        <is>
          <t>Includes OCI write requests, migration-period storage accrual and recurring final storage.</t>
        </is>
      </c>
    </row>
    <row r="20" ht="30" customHeight="1">
      <c r="A20" s="4" t="inlineStr">
        <is>
          <t>Estimated migration duration (days)</t>
        </is>
      </c>
      <c r="B20" s="5" t="n">
        <v>47</v>
      </c>
      <c r="C20" s="4" t="inlineStr">
        <is>
          <t>Used only to approximate OCI storage accrued while data lands linearly.</t>
        </is>
      </c>
    </row>
    <row r="21" ht="30" customHeight="1">
      <c r="A21" s="4" t="inlineStr">
        <is>
          <t>OCI write operations per object</t>
        </is>
      </c>
      <c r="B21" s="5" t="n">
        <v>4</v>
      </c>
      <c r="C21" s="4" t="inlineStr">
        <is>
          <t>Average final write operations per object. Use 1 for small PutObject files; increase for multipart.</t>
        </is>
      </c>
    </row>
    <row r="22" ht="30" customHeight="1">
      <c r="A22" s="4" t="inlineStr">
        <is>
          <t>Include early Deep Archive delete</t>
        </is>
      </c>
      <c r="B22" s="5" t="b">
        <v>0</v>
      </c>
      <c r="C22" s="4" t="inlineStr">
        <is>
          <t>Adds the ‘Early delete’ worksheet total to the one-time estimate.</t>
        </is>
      </c>
    </row>
    <row r="25">
      <c r="A25" s="3" t="inlineStr">
        <is>
          <t>Calculated planning metric</t>
        </is>
      </c>
      <c r="B25" s="3" t="inlineStr">
        <is>
          <t>Value</t>
        </is>
      </c>
      <c r="C25" s="3" t="inlineStr">
        <is>
          <t>Explanation</t>
        </is>
      </c>
    </row>
    <row r="26">
      <c r="A26" s="4" t="inlineStr">
        <is>
          <t>Number of waves</t>
        </is>
      </c>
      <c r="B26" s="7">
        <f>ROUNDUP(B7/B9,0)</f>
        <v/>
      </c>
      <c r="C26" s="4" t="inlineStr">
        <is>
          <t>Rounded up; final wave can be smaller.</t>
        </is>
      </c>
    </row>
    <row r="27">
      <c r="A27" s="4" t="inlineStr">
        <is>
          <t>Average objects / wave</t>
        </is>
      </c>
      <c r="B27" s="7">
        <f>ROUNDUP(B8/B26,0)</f>
        <v/>
      </c>
      <c r="C27" s="4" t="inlineStr">
        <is>
          <t>Useful for Batch, polling and request estimates.</t>
        </is>
      </c>
    </row>
    <row r="28">
      <c r="A28" s="4" t="inlineStr">
        <is>
          <t>Source ListObjectsV2 pages</t>
        </is>
      </c>
      <c r="B28" s="4">
        <f>ROUNDUP(B8/1000,0)</f>
        <v/>
      </c>
      <c r="C28" s="4" t="inlineStr">
        <is>
          <t>One discovery page is up to 1,000 objects.</t>
        </is>
      </c>
    </row>
    <row r="29">
      <c r="A29" s="4" t="inlineStr">
        <is>
          <t>Archive mix validation</t>
        </is>
      </c>
      <c r="B29" s="8">
        <f>B10+B11+B12</f>
        <v/>
      </c>
      <c r="C29" s="4" t="inlineStr">
        <is>
          <t>Must equal 1.00; red means the shares are inconsistent.</t>
        </is>
      </c>
    </row>
    <row r="30">
      <c r="A30" s="4" t="inlineStr">
        <is>
          <t>Effective outbound rate USD/GB</t>
        </is>
      </c>
      <c r="B30" s="9">
        <f>IF(B18,IFERROR(IF(VLOOKUP(B6,'Tariffs by region'!A:O,4,FALSE)&gt;0,VLOOKUP(B6,'Tariffs by region'!A:O,4,FALSE),VLOOKUP(B6,'Tariffs by region'!A:O,3,FALSE)),VLOOKUP(B6,'Tariffs by region'!A:O,3,FALSE)),VLOOKUP(B6,'Tariffs by region'!A:O,3,FALSE))</f>
        <v/>
      </c>
      <c r="C30" s="4" t="inlineStr">
        <is>
          <t>FastConnect/Direct Connect rate wins only when enabled and entered in the tariff table.</t>
        </is>
      </c>
    </row>
  </sheetData>
  <mergeCells count="2">
    <mergeCell ref="A2:H2"/>
    <mergeCell ref="A1:H1"/>
  </mergeCells>
  <conditionalFormatting sqref="B29">
    <cfRule type="colorScale" priority="1">
      <colorScale>
        <cfvo type="num" val="0"/>
        <cfvo type="num" val="1"/>
        <cfvo type="num" val="1"/>
        <color rgb="00F8696B"/>
        <color rgb="00FFEB84"/>
        <color rgb="0063BE7B"/>
      </colorScale>
    </cfRule>
  </conditionalFormatting>
  <dataValidations count="2">
    <dataValidation sqref="B16:B19 B22" showDropDown="0" showInputMessage="0" showErrorMessage="0" allowBlank="0" type="list">
      <formula1>"TRUE,FALSE"</formula1>
    </dataValidation>
    <dataValidation sqref="B13" showDropDown="0" showInputMessage="0" showErrorMessage="0" allowBlank="0" type="list">
      <formula1>"BULK,STANDARD"</formula1>
    </dataValidation>
  </dataValidations>
  <pageMargins left="0.25" right="0.2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18" customWidth="1" min="3" max="3"/>
    <col width="18" customWidth="1" min="4" max="4"/>
    <col width="18" customWidth="1" min="5" max="5"/>
    <col width="20" customWidth="1" min="6" max="6"/>
    <col width="58" customWidth="1" min="7" max="7"/>
  </cols>
  <sheetData>
    <row r="1" ht="32" customHeight="1">
      <c r="A1" s="1" t="inlineStr">
        <is>
          <t>AWS one-time migration estimate</t>
        </is>
      </c>
    </row>
    <row r="2" ht="34" customHeight="1">
      <c r="A2" s="2" t="inlineStr">
        <is>
          <t>Uses the selected regional rate. Polling is intentionally conservative: it charges a ListObjectsV2-style cycle for each wave. You may override any tariff in the regional table.</t>
        </is>
      </c>
    </row>
    <row r="4">
      <c r="A4" s="3" t="inlineStr">
        <is>
          <t>Component</t>
        </is>
      </c>
      <c r="B4" s="3" t="inlineStr">
        <is>
          <t>Quantity</t>
        </is>
      </c>
      <c r="C4" s="3" t="inlineStr">
        <is>
          <t>Unit</t>
        </is>
      </c>
      <c r="D4" s="3" t="inlineStr">
        <is>
          <t>Rate source</t>
        </is>
      </c>
      <c r="E4" s="3" t="inlineStr">
        <is>
          <t>Rate</t>
        </is>
      </c>
      <c r="F4" s="3" t="inlineStr">
        <is>
          <t>Estimated cost</t>
        </is>
      </c>
      <c r="G4" s="3" t="inlineStr">
        <is>
          <t>Notes</t>
        </is>
      </c>
    </row>
    <row r="5">
      <c r="A5" s="4" t="inlineStr">
        <is>
          <t>Deep Archive BULK retrieval</t>
        </is>
      </c>
      <c r="B5" s="10">
        <f>'Main inputs'!B9*1000*'Main inputs'!B10</f>
        <v/>
      </c>
      <c r="C5" s="4" t="inlineStr">
        <is>
          <t>GB</t>
        </is>
      </c>
      <c r="D5" s="4" t="inlineStr">
        <is>
          <t>Contract/public tariff</t>
        </is>
      </c>
      <c r="E5" s="11">
        <f>VLOOKUP('Main inputs'!B6,'Tariffs by region'!A:O,6,FALSE)</f>
        <v/>
      </c>
      <c r="F5" s="11">
        <f>IF(='Main inputs'!B13="BULK",IFERROR(B5*E5,"Not priced"),0)</f>
        <v/>
      </c>
      <c r="G5" s="4" t="inlineStr">
        <is>
          <t>Only data in Deep Archive.</t>
        </is>
      </c>
    </row>
    <row r="6">
      <c r="A6" s="4" t="inlineStr">
        <is>
          <t>Deep Archive STANDARD retrieval</t>
        </is>
      </c>
      <c r="B6" s="10">
        <f>'Main inputs'!B9*1000*'Main inputs'!B10</f>
        <v/>
      </c>
      <c r="C6" s="4" t="inlineStr">
        <is>
          <t>GB</t>
        </is>
      </c>
      <c r="D6" s="4" t="inlineStr">
        <is>
          <t>Contract/public tariff</t>
        </is>
      </c>
      <c r="E6" s="11">
        <f>VLOOKUP('Main inputs'!B6,'Tariffs by region'!A:O,7,FALSE)</f>
        <v/>
      </c>
      <c r="F6" s="11">
        <f>IF(='Main inputs'!B13="STANDARD",IFERROR(B6*E6,"Not priced"),0)</f>
        <v/>
      </c>
      <c r="G6" s="4" t="inlineStr">
        <is>
          <t>Only data in Deep Archive.</t>
        </is>
      </c>
    </row>
    <row r="7">
      <c r="A7" s="4" t="inlineStr">
        <is>
          <t>Temporary restored S3 Standard copy</t>
        </is>
      </c>
      <c r="B7" s="10">
        <f>'Main inputs'!B9*1000*('Main inputs'!B10+'Main inputs'!B11)*'Main inputs'!B14/24/30</f>
        <v/>
      </c>
      <c r="C7" s="4" t="inlineStr">
        <is>
          <t>GB-month</t>
        </is>
      </c>
      <c r="D7" s="4" t="inlineStr">
        <is>
          <t>Contract/public tariff</t>
        </is>
      </c>
      <c r="E7" s="11">
        <f>VLOOKUP('Main inputs'!B6,'Tariffs by region'!A:O,8,FALSE)</f>
        <v/>
      </c>
      <c r="F7" s="11">
        <f>IF(=TRUE,IFERROR(B7*E7,"Not priced"),0)</f>
        <v/>
      </c>
      <c r="G7" s="4" t="inlineStr">
        <is>
          <t>Retention is charged only while the restored copy exists.</t>
        </is>
      </c>
    </row>
    <row r="8">
      <c r="A8" s="4" t="inlineStr">
        <is>
          <t>S3 Batch Operations jobs</t>
        </is>
      </c>
      <c r="B8" s="10">
        <f>1</f>
        <v/>
      </c>
      <c r="C8" s="4" t="inlineStr">
        <is>
          <t>job / wave</t>
        </is>
      </c>
      <c r="D8" s="4" t="inlineStr">
        <is>
          <t>Contract/public tariff</t>
        </is>
      </c>
      <c r="E8" s="11">
        <f>VLOOKUP('Main inputs'!B6,'Tariffs by region'!A:O,11,FALSE)</f>
        <v/>
      </c>
      <c r="F8" s="11">
        <f>IF(=TRUE,IFERROR(B8*E8,"Not priced"),0)</f>
        <v/>
      </c>
      <c r="G8" s="4" t="inlineStr">
        <is>
          <t>One Batch restore job per archive wave.</t>
        </is>
      </c>
    </row>
    <row r="9">
      <c r="A9" s="4" t="inlineStr">
        <is>
          <t>S3 Batch Operations object tasks</t>
        </is>
      </c>
      <c r="B9" s="10">
        <f>'Main inputs'!B27</f>
        <v/>
      </c>
      <c r="C9" s="4" t="inlineStr">
        <is>
          <t>objects / wave</t>
        </is>
      </c>
      <c r="D9" s="4" t="inlineStr">
        <is>
          <t>Contract/public tariff</t>
        </is>
      </c>
      <c r="E9" s="11">
        <f>VLOOKUP('Main inputs'!B6,'Tariffs by region'!A:O,12,FALSE)/1000</f>
        <v/>
      </c>
      <c r="F9" s="11">
        <f>IF(=TRUE,IFERROR(B9*E9,"Not priced"),0)</f>
        <v/>
      </c>
      <c r="G9" s="4" t="inlineStr">
        <is>
          <t>Rate is normalized to USD/object.</t>
        </is>
      </c>
    </row>
    <row r="10">
      <c r="A10" s="4" t="inlineStr">
        <is>
          <t>Allocated discovery ListObjectsV2</t>
        </is>
      </c>
      <c r="B10" s="10">
        <f>ROUNDUP('Main inputs'!B27/1000,0)</f>
        <v/>
      </c>
      <c r="C10" s="4" t="inlineStr">
        <is>
          <t>requests / wave</t>
        </is>
      </c>
      <c r="D10" s="4" t="inlineStr">
        <is>
          <t>Contract/public tariff</t>
        </is>
      </c>
      <c r="E10" s="11">
        <f>VLOOKUP('Main inputs'!B6,'Tariffs by region'!A:O,9,FALSE)/1000</f>
        <v/>
      </c>
      <c r="F10" s="11">
        <f>IF(=TRUE,IFERROR(B10*E10,"Not priced"),0)</f>
        <v/>
      </c>
      <c r="G10" s="4" t="inlineStr">
        <is>
          <t>Discovery itself runs once; allocation is proportional to objects in the wave.</t>
        </is>
      </c>
    </row>
    <row r="11">
      <c r="A11" s="4" t="inlineStr">
        <is>
          <t>Restore polling — conservative</t>
        </is>
      </c>
      <c r="B11" s="10">
        <f>'Main inputs'!B28*'Main inputs'!B15</f>
        <v/>
      </c>
      <c r="C11" s="4" t="inlineStr">
        <is>
          <t>requests / wave</t>
        </is>
      </c>
      <c r="D11" s="4" t="inlineStr">
        <is>
          <t>Contract/public tariff</t>
        </is>
      </c>
      <c r="E11" s="11">
        <f>VLOOKUP('Main inputs'!B6,'Tariffs by region'!A:O,9,FALSE)/1000</f>
        <v/>
      </c>
      <c r="F11" s="11">
        <f>IF(=TRUE,IFERROR(B11*E11,"Not priced"),0)</f>
        <v/>
      </c>
      <c r="G11" s="4" t="inlineStr">
        <is>
          <t>Conservative ListObjectsV2 equivalent. Actual Raijin adaptive polling can be lower.</t>
        </is>
      </c>
    </row>
    <row r="12">
      <c r="A12" s="4" t="inlineStr">
        <is>
          <t>S3 object reads</t>
        </is>
      </c>
      <c r="B12" s="10">
        <f>'Main inputs'!B27</f>
        <v/>
      </c>
      <c r="C12" s="4" t="inlineStr">
        <is>
          <t>requests / wave</t>
        </is>
      </c>
      <c r="D12" s="4" t="inlineStr">
        <is>
          <t>Contract/public tariff</t>
        </is>
      </c>
      <c r="E12" s="11">
        <f>VLOOKUP('Main inputs'!B6,'Tariffs by region'!A:O,10,FALSE)/1000</f>
        <v/>
      </c>
      <c r="F12" s="11">
        <f>IF(=TRUE,IFERROR(B12*E12,"Not priced"),0)</f>
        <v/>
      </c>
      <c r="G12" s="4" t="inlineStr">
        <is>
          <t>One streaming GetObject per object.</t>
        </is>
      </c>
    </row>
    <row r="13">
      <c r="A13" s="4" t="inlineStr">
        <is>
          <t>S3 object-tag reads</t>
        </is>
      </c>
      <c r="B13" s="10">
        <f>'Main inputs'!B27</f>
        <v/>
      </c>
      <c r="C13" s="4" t="inlineStr">
        <is>
          <t>requests / wave</t>
        </is>
      </c>
      <c r="D13" s="4" t="inlineStr">
        <is>
          <t>Contract/public tariff</t>
        </is>
      </c>
      <c r="E13" s="11">
        <f>VLOOKUP('Main inputs'!B6,'Tariffs by region'!A:O,10,FALSE)/1000</f>
        <v/>
      </c>
      <c r="F13" s="11">
        <f>IF(='Main inputs'!B16,IFERROR(B13*E13,"Not priced"),0)</f>
        <v/>
      </c>
      <c r="G13" s="4" t="inlineStr">
        <is>
          <t>Only when tag preservation is enabled.</t>
        </is>
      </c>
    </row>
    <row r="14">
      <c r="A14" s="4" t="inlineStr">
        <is>
          <t>AWS transfer out to OCI</t>
        </is>
      </c>
      <c r="B14" s="10">
        <f>'Main inputs'!B9*1000</f>
        <v/>
      </c>
      <c r="C14" s="4" t="inlineStr">
        <is>
          <t>GB</t>
        </is>
      </c>
      <c r="D14" s="4" t="inlineStr">
        <is>
          <t>Contract/public tariff</t>
        </is>
      </c>
      <c r="E14" s="11">
        <f>'Main inputs'!B30</f>
        <v/>
      </c>
      <c r="F14" s="11">
        <f>IF(='Main inputs'!B17,IFERROR(B14*E14,"Not priced"),0)</f>
        <v/>
      </c>
      <c r="G14" s="4" t="inlineStr">
        <is>
          <t>Uses FastConnect/Direct Connect rate only if selected and populated.</t>
        </is>
      </c>
    </row>
    <row r="16">
      <c r="A16" s="12" t="inlineStr">
        <is>
          <t>AWS total / wave</t>
        </is>
      </c>
      <c r="B16" s="4" t="n"/>
      <c r="C16" s="4" t="n"/>
      <c r="D16" s="4" t="n"/>
      <c r="E16" s="4" t="n"/>
      <c r="F16" s="13">
        <f>SUM(F5:F14)</f>
        <v/>
      </c>
    </row>
    <row r="17">
      <c r="A17" s="12" t="inlineStr">
        <is>
          <t>AWS total / project</t>
        </is>
      </c>
      <c r="B17" s="4" t="n"/>
      <c r="C17" s="4" t="n"/>
      <c r="D17" s="4" t="n"/>
      <c r="E17" s="4" t="n"/>
      <c r="F17" s="13">
        <f>F16*'Main inputs'!B26</f>
        <v/>
      </c>
    </row>
  </sheetData>
  <mergeCells count="2">
    <mergeCell ref="A2:H2"/>
    <mergeCell ref="A1:H1"/>
  </mergeCells>
  <pageMargins left="0.25" right="0.2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1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4" customWidth="1" min="2" max="2"/>
    <col width="18" customWidth="1" min="3" max="3"/>
    <col width="18" customWidth="1" min="4" max="4"/>
    <col width="22" customWidth="1" min="5" max="5"/>
    <col width="62" customWidth="1" min="6" max="6"/>
  </cols>
  <sheetData>
    <row r="1" ht="32" customHeight="1">
      <c r="A1" s="1" t="inlineStr">
        <is>
          <t>OCI cost estimate</t>
        </is>
      </c>
    </row>
    <row r="2" ht="34" customHeight="1">
      <c r="A2" s="2" t="inlineStr">
        <is>
          <t>OCI storage is shown separately because it becomes a recurring destination cost. Migration-period storage assumes data arrives evenly over the configured duration.</t>
        </is>
      </c>
    </row>
    <row r="4">
      <c r="A4" s="3" t="inlineStr">
        <is>
          <t>Component</t>
        </is>
      </c>
      <c r="B4" s="3" t="inlineStr">
        <is>
          <t>Quantity</t>
        </is>
      </c>
      <c r="C4" s="3" t="inlineStr">
        <is>
          <t>Unit</t>
        </is>
      </c>
      <c r="D4" s="3" t="inlineStr">
        <is>
          <t>Rate</t>
        </is>
      </c>
      <c r="E4" s="3" t="inlineStr">
        <is>
          <t>Estimated cost</t>
        </is>
      </c>
      <c r="F4" s="3" t="inlineStr">
        <is>
          <t>Notes</t>
        </is>
      </c>
    </row>
    <row r="5">
      <c r="A5" s="4" t="inlineStr">
        <is>
          <t>OCI Object Storage write requests / wave</t>
        </is>
      </c>
      <c r="B5" s="10">
        <f>'Main inputs'!B27*'Main inputs'!B21</f>
        <v/>
      </c>
      <c r="C5" s="4" t="inlineStr">
        <is>
          <t>operations</t>
        </is>
      </c>
      <c r="D5" s="11">
        <f>VLOOKUP('Main inputs'!B6,'Tariffs by region'!A:O,14,FALSE)/10000</f>
        <v/>
      </c>
      <c r="E5" s="11">
        <f>IF(='Main inputs'!B19,IFERROR(B5*D5,"Not priced"),0)</f>
        <v/>
      </c>
      <c r="F5" s="4" t="inlineStr">
        <is>
          <t>Average operations/object is customizable for multipart.</t>
        </is>
      </c>
    </row>
    <row r="6">
      <c r="A6" s="4" t="inlineStr">
        <is>
          <t>OCI final storage / wave / month</t>
        </is>
      </c>
      <c r="B6" s="10">
        <f>'Main inputs'!B9*1000</f>
        <v/>
      </c>
      <c r="C6" s="4" t="inlineStr">
        <is>
          <t>GB-month</t>
        </is>
      </c>
      <c r="D6" s="11">
        <f>VLOOKUP('Main inputs'!B6,'Tariffs by region'!A:O,13,FALSE)</f>
        <v/>
      </c>
      <c r="E6" s="11">
        <f>IF(='Main inputs'!B19,IFERROR(B6*D6,"Not priced"),0)</f>
        <v/>
      </c>
      <c r="F6" s="4" t="inlineStr">
        <is>
          <t>Recurring once this wave is fully present.</t>
        </is>
      </c>
    </row>
    <row r="7">
      <c r="A7" s="4" t="inlineStr">
        <is>
          <t>OCI storage accrued during full migration</t>
        </is>
      </c>
      <c r="B7" s="10">
        <f>'Main inputs'!B7*1000*'Main inputs'!B20/2/30</f>
        <v/>
      </c>
      <c r="C7" s="4" t="inlineStr">
        <is>
          <t>GB-month</t>
        </is>
      </c>
      <c r="D7" s="11">
        <f>VLOOKUP('Main inputs'!B6,'Tariffs by region'!A:O,13,FALSE)</f>
        <v/>
      </c>
      <c r="E7" s="11">
        <f>IF(='Main inputs'!B19,IFERROR(B7*D7,"Not priced"),0)</f>
        <v/>
      </c>
      <c r="F7" s="4" t="inlineStr">
        <is>
          <t>Linear-arrival approximation; excludes later recurring storage.</t>
        </is>
      </c>
    </row>
    <row r="8">
      <c r="A8" s="4" t="inlineStr">
        <is>
          <t>OCI final storage / project / month</t>
        </is>
      </c>
      <c r="B8" s="10">
        <f>'Main inputs'!B7*1000</f>
        <v/>
      </c>
      <c r="C8" s="4" t="inlineStr">
        <is>
          <t>GB-month</t>
        </is>
      </c>
      <c r="D8" s="11">
        <f>VLOOKUP('Main inputs'!B6,'Tariffs by region'!A:O,13,FALSE)</f>
        <v/>
      </c>
      <c r="E8" s="11">
        <f>IF(='Main inputs'!B19,IFERROR(B8*D8,"Not priced"),0)</f>
        <v/>
      </c>
      <c r="F8" s="4" t="inlineStr">
        <is>
          <t>Recurring final destination storage.</t>
        </is>
      </c>
    </row>
    <row r="11">
      <c r="A11" s="12" t="inlineStr">
        <is>
          <t>OCI one-time migration cost</t>
        </is>
      </c>
      <c r="B11" s="4" t="n"/>
      <c r="C11" s="4" t="n"/>
      <c r="D11" s="4" t="n"/>
      <c r="E11" s="13">
        <f>E5+E7</f>
        <v/>
      </c>
    </row>
    <row r="12">
      <c r="A12" s="12" t="inlineStr">
        <is>
          <t>OCI recurring final monthly cost</t>
        </is>
      </c>
      <c r="B12" s="4" t="n"/>
      <c r="C12" s="4" t="n"/>
      <c r="D12" s="4" t="n"/>
      <c r="E12" s="13">
        <f>E8</f>
        <v/>
      </c>
    </row>
  </sheetData>
  <mergeCells count="2">
    <mergeCell ref="A2:H2"/>
    <mergeCell ref="A1:H1"/>
  </mergeCells>
  <pageMargins left="0.25" right="0.2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32" customWidth="1" min="3" max="3"/>
    <col width="31" customWidth="1" min="4" max="4"/>
    <col width="24" customWidth="1" min="5" max="5"/>
    <col width="30" customWidth="1" min="6" max="6"/>
    <col width="55" customWidth="1" min="7" max="7"/>
  </cols>
  <sheetData>
    <row r="1" ht="32" customHeight="1">
      <c r="A1" s="1" t="inlineStr">
        <is>
          <t>Deep Archive early-delete model</t>
        </is>
      </c>
    </row>
    <row r="2" ht="34" customHeight="1">
      <c r="A2" s="2" t="inlineStr">
        <is>
          <t>Use one row per age group. AWS Deep Archive has a 180-day minimum storage duration; this model estimates the pro-rated remaining storage charge. Enter the verified regional Deep Archive storage rate before using this result.</t>
        </is>
      </c>
    </row>
    <row r="4">
      <c r="A4" s="3" t="inlineStr">
        <is>
          <t>Group / prefix</t>
        </is>
      </c>
      <c r="B4" s="3" t="inlineStr">
        <is>
          <t>Deep Archive data to delete (TB)</t>
        </is>
      </c>
      <c r="C4" s="3" t="inlineStr">
        <is>
          <t>Average age in Deep Archive (days)</t>
        </is>
      </c>
      <c r="D4" s="3" t="inlineStr">
        <is>
          <t>Deep Archive rate USD/GB-month</t>
        </is>
      </c>
      <c r="E4" s="3" t="inlineStr">
        <is>
          <t>Remaining minimum days</t>
        </is>
      </c>
      <c r="F4" s="3" t="inlineStr">
        <is>
          <t>Estimated early-delete charge</t>
        </is>
      </c>
      <c r="G4" s="3" t="inlineStr">
        <is>
          <t>Notes</t>
        </is>
      </c>
    </row>
    <row r="5">
      <c r="A5" s="5" t="inlineStr">
        <is>
          <t>Group 1</t>
        </is>
      </c>
      <c r="B5" s="14" t="n"/>
      <c r="C5" s="15" t="n"/>
      <c r="D5" s="11">
        <f>VLOOKUP('Main inputs'!B6,'Tariffs by region'!A:O,5,FALSE)</f>
        <v/>
      </c>
      <c r="E5" s="16">
        <f>IF(OR(B5="",C5=""),"",MAX(0,180-C5))</f>
        <v/>
      </c>
      <c r="F5" s="11">
        <f>IF(OR(B5="",C5="",D5=""),"Not priced",B5*1000*D5*E5/30)</f>
        <v/>
      </c>
      <c r="G5" s="5" t="n"/>
    </row>
    <row r="6">
      <c r="A6" s="5" t="inlineStr">
        <is>
          <t>Group 2</t>
        </is>
      </c>
      <c r="B6" s="14" t="n"/>
      <c r="C6" s="15" t="n"/>
      <c r="D6" s="11">
        <f>VLOOKUP('Main inputs'!B6,'Tariffs by region'!A:O,5,FALSE)</f>
        <v/>
      </c>
      <c r="E6" s="16">
        <f>IF(OR(B6="",C6=""),"",MAX(0,180-C6))</f>
        <v/>
      </c>
      <c r="F6" s="11">
        <f>IF(OR(B6="",C6="",D6=""),"Not priced",B6*1000*D6*E6/30)</f>
        <v/>
      </c>
      <c r="G6" s="5" t="n"/>
    </row>
    <row r="7">
      <c r="A7" s="5" t="inlineStr">
        <is>
          <t>Group 3</t>
        </is>
      </c>
      <c r="B7" s="14" t="n"/>
      <c r="C7" s="15" t="n"/>
      <c r="D7" s="11">
        <f>VLOOKUP('Main inputs'!B6,'Tariffs by region'!A:O,5,FALSE)</f>
        <v/>
      </c>
      <c r="E7" s="16">
        <f>IF(OR(B7="",C7=""),"",MAX(0,180-C7))</f>
        <v/>
      </c>
      <c r="F7" s="11">
        <f>IF(OR(B7="",C7="",D7=""),"Not priced",B7*1000*D7*E7/30)</f>
        <v/>
      </c>
      <c r="G7" s="5" t="n"/>
    </row>
    <row r="8">
      <c r="A8" s="5" t="inlineStr">
        <is>
          <t>Group 4</t>
        </is>
      </c>
      <c r="B8" s="14" t="n"/>
      <c r="C8" s="15" t="n"/>
      <c r="D8" s="11">
        <f>VLOOKUP('Main inputs'!B6,'Tariffs by region'!A:O,5,FALSE)</f>
        <v/>
      </c>
      <c r="E8" s="16">
        <f>IF(OR(B8="",C8=""),"",MAX(0,180-C8))</f>
        <v/>
      </c>
      <c r="F8" s="11">
        <f>IF(OR(B8="",C8="",D8=""),"Not priced",B8*1000*D8*E8/30)</f>
        <v/>
      </c>
      <c r="G8" s="5" t="n"/>
    </row>
    <row r="9">
      <c r="A9" s="5" t="inlineStr">
        <is>
          <t>Group 5</t>
        </is>
      </c>
      <c r="B9" s="14" t="n"/>
      <c r="C9" s="15" t="n"/>
      <c r="D9" s="11">
        <f>VLOOKUP('Main inputs'!B6,'Tariffs by region'!A:O,5,FALSE)</f>
        <v/>
      </c>
      <c r="E9" s="16">
        <f>IF(OR(B9="",C9=""),"",MAX(0,180-C9))</f>
        <v/>
      </c>
      <c r="F9" s="11">
        <f>IF(OR(B9="",C9="",D9=""),"Not priced",B9*1000*D9*E9/30)</f>
        <v/>
      </c>
      <c r="G9" s="5" t="n"/>
    </row>
    <row r="10">
      <c r="A10" s="5" t="inlineStr">
        <is>
          <t>Group 6</t>
        </is>
      </c>
      <c r="B10" s="14" t="n"/>
      <c r="C10" s="15" t="n"/>
      <c r="D10" s="11">
        <f>VLOOKUP('Main inputs'!B6,'Tariffs by region'!A:O,5,FALSE)</f>
        <v/>
      </c>
      <c r="E10" s="16">
        <f>IF(OR(B10="",C10=""),"",MAX(0,180-C10))</f>
        <v/>
      </c>
      <c r="F10" s="11">
        <f>IF(OR(B10="",C10="",D10=""),"Not priced",B10*1000*D10*E10/30)</f>
        <v/>
      </c>
      <c r="G10" s="5" t="n"/>
    </row>
    <row r="11">
      <c r="A11" s="5" t="inlineStr">
        <is>
          <t>Group 7</t>
        </is>
      </c>
      <c r="B11" s="14" t="n"/>
      <c r="C11" s="15" t="n"/>
      <c r="D11" s="11">
        <f>VLOOKUP('Main inputs'!B6,'Tariffs by region'!A:O,5,FALSE)</f>
        <v/>
      </c>
      <c r="E11" s="16">
        <f>IF(OR(B11="",C11=""),"",MAX(0,180-C11))</f>
        <v/>
      </c>
      <c r="F11" s="11">
        <f>IF(OR(B11="",C11="",D11=""),"Not priced",B11*1000*D11*E11/30)</f>
        <v/>
      </c>
      <c r="G11" s="5" t="n"/>
    </row>
    <row r="12">
      <c r="A12" s="5" t="inlineStr">
        <is>
          <t>Group 8</t>
        </is>
      </c>
      <c r="B12" s="14" t="n"/>
      <c r="C12" s="15" t="n"/>
      <c r="D12" s="11">
        <f>VLOOKUP('Main inputs'!B6,'Tariffs by region'!A:O,5,FALSE)</f>
        <v/>
      </c>
      <c r="E12" s="16">
        <f>IF(OR(B12="",C12=""),"",MAX(0,180-C12))</f>
        <v/>
      </c>
      <c r="F12" s="11">
        <f>IF(OR(B12="",C12="",D12=""),"Not priced",B12*1000*D12*E12/30)</f>
        <v/>
      </c>
      <c r="G12" s="5" t="n"/>
    </row>
    <row r="13">
      <c r="A13" s="5" t="inlineStr">
        <is>
          <t>Group 9</t>
        </is>
      </c>
      <c r="B13" s="14" t="n"/>
      <c r="C13" s="15" t="n"/>
      <c r="D13" s="11">
        <f>VLOOKUP('Main inputs'!B6,'Tariffs by region'!A:O,5,FALSE)</f>
        <v/>
      </c>
      <c r="E13" s="16">
        <f>IF(OR(B13="",C13=""),"",MAX(0,180-C13))</f>
        <v/>
      </c>
      <c r="F13" s="11">
        <f>IF(OR(B13="",C13="",D13=""),"Not priced",B13*1000*D13*E13/30)</f>
        <v/>
      </c>
      <c r="G13" s="5" t="n"/>
    </row>
    <row r="14">
      <c r="A14" s="5" t="inlineStr">
        <is>
          <t>Group 10</t>
        </is>
      </c>
      <c r="B14" s="14" t="n"/>
      <c r="C14" s="15" t="n"/>
      <c r="D14" s="11">
        <f>VLOOKUP('Main inputs'!B6,'Tariffs by region'!A:O,5,FALSE)</f>
        <v/>
      </c>
      <c r="E14" s="16">
        <f>IF(OR(B14="",C14=""),"",MAX(0,180-C14))</f>
        <v/>
      </c>
      <c r="F14" s="11">
        <f>IF(OR(B14="",C14="",D14=""),"Not priced",B14*1000*D14*E14/30)</f>
        <v/>
      </c>
      <c r="G14" s="5" t="n"/>
    </row>
    <row r="15">
      <c r="A15" s="5" t="inlineStr">
        <is>
          <t>Group 11</t>
        </is>
      </c>
      <c r="B15" s="14" t="n"/>
      <c r="C15" s="15" t="n"/>
      <c r="D15" s="11">
        <f>VLOOKUP('Main inputs'!B6,'Tariffs by region'!A:O,5,FALSE)</f>
        <v/>
      </c>
      <c r="E15" s="16">
        <f>IF(OR(B15="",C15=""),"",MAX(0,180-C15))</f>
        <v/>
      </c>
      <c r="F15" s="11">
        <f>IF(OR(B15="",C15="",D15=""),"Not priced",B15*1000*D15*E15/30)</f>
        <v/>
      </c>
      <c r="G15" s="5" t="n"/>
    </row>
    <row r="16">
      <c r="A16" s="5" t="inlineStr">
        <is>
          <t>Group 12</t>
        </is>
      </c>
      <c r="B16" s="14" t="n"/>
      <c r="C16" s="15" t="n"/>
      <c r="D16" s="11">
        <f>VLOOKUP('Main inputs'!B6,'Tariffs by region'!A:O,5,FALSE)</f>
        <v/>
      </c>
      <c r="E16" s="16">
        <f>IF(OR(B16="",C16=""),"",MAX(0,180-C16))</f>
        <v/>
      </c>
      <c r="F16" s="11">
        <f>IF(OR(B16="",C16="",D16=""),"Not priced",B16*1000*D16*E16/30)</f>
        <v/>
      </c>
      <c r="G16" s="5" t="n"/>
    </row>
    <row r="17">
      <c r="A17" s="5" t="inlineStr">
        <is>
          <t>Group 13</t>
        </is>
      </c>
      <c r="B17" s="14" t="n"/>
      <c r="C17" s="15" t="n"/>
      <c r="D17" s="11">
        <f>VLOOKUP('Main inputs'!B6,'Tariffs by region'!A:O,5,FALSE)</f>
        <v/>
      </c>
      <c r="E17" s="16">
        <f>IF(OR(B17="",C17=""),"",MAX(0,180-C17))</f>
        <v/>
      </c>
      <c r="F17" s="11">
        <f>IF(OR(B17="",C17="",D17=""),"Not priced",B17*1000*D17*E17/30)</f>
        <v/>
      </c>
      <c r="G17" s="5" t="n"/>
    </row>
    <row r="18">
      <c r="A18" s="5" t="inlineStr">
        <is>
          <t>Group 14</t>
        </is>
      </c>
      <c r="B18" s="14" t="n"/>
      <c r="C18" s="15" t="n"/>
      <c r="D18" s="11">
        <f>VLOOKUP('Main inputs'!B6,'Tariffs by region'!A:O,5,FALSE)</f>
        <v/>
      </c>
      <c r="E18" s="16">
        <f>IF(OR(B18="",C18=""),"",MAX(0,180-C18))</f>
        <v/>
      </c>
      <c r="F18" s="11">
        <f>IF(OR(B18="",C18="",D18=""),"Not priced",B18*1000*D18*E18/30)</f>
        <v/>
      </c>
      <c r="G18" s="5" t="n"/>
    </row>
    <row r="19">
      <c r="A19" s="5" t="inlineStr">
        <is>
          <t>Group 15</t>
        </is>
      </c>
      <c r="B19" s="14" t="n"/>
      <c r="C19" s="15" t="n"/>
      <c r="D19" s="11">
        <f>VLOOKUP('Main inputs'!B6,'Tariffs by region'!A:O,5,FALSE)</f>
        <v/>
      </c>
      <c r="E19" s="16">
        <f>IF(OR(B19="",C19=""),"",MAX(0,180-C19))</f>
        <v/>
      </c>
      <c r="F19" s="11">
        <f>IF(OR(B19="",C19="",D19=""),"Not priced",B19*1000*D19*E19/30)</f>
        <v/>
      </c>
      <c r="G19" s="5" t="n"/>
    </row>
    <row r="20">
      <c r="A20" s="5" t="inlineStr">
        <is>
          <t>Group 16</t>
        </is>
      </c>
      <c r="B20" s="14" t="n"/>
      <c r="C20" s="15" t="n"/>
      <c r="D20" s="11">
        <f>VLOOKUP('Main inputs'!B6,'Tariffs by region'!A:O,5,FALSE)</f>
        <v/>
      </c>
      <c r="E20" s="16">
        <f>IF(OR(B20="",C20=""),"",MAX(0,180-C20))</f>
        <v/>
      </c>
      <c r="F20" s="11">
        <f>IF(OR(B20="",C20="",D20=""),"Not priced",B20*1000*D20*E20/30)</f>
        <v/>
      </c>
      <c r="G20" s="5" t="n"/>
    </row>
    <row r="21">
      <c r="A21" s="5" t="inlineStr">
        <is>
          <t>Group 17</t>
        </is>
      </c>
      <c r="B21" s="14" t="n"/>
      <c r="C21" s="15" t="n"/>
      <c r="D21" s="11">
        <f>VLOOKUP('Main inputs'!B6,'Tariffs by region'!A:O,5,FALSE)</f>
        <v/>
      </c>
      <c r="E21" s="16">
        <f>IF(OR(B21="",C21=""),"",MAX(0,180-C21))</f>
        <v/>
      </c>
      <c r="F21" s="11">
        <f>IF(OR(B21="",C21="",D21=""),"Not priced",B21*1000*D21*E21/30)</f>
        <v/>
      </c>
      <c r="G21" s="5" t="n"/>
    </row>
    <row r="22">
      <c r="A22" s="5" t="inlineStr">
        <is>
          <t>Group 18</t>
        </is>
      </c>
      <c r="B22" s="14" t="n"/>
      <c r="C22" s="15" t="n"/>
      <c r="D22" s="11">
        <f>VLOOKUP('Main inputs'!B6,'Tariffs by region'!A:O,5,FALSE)</f>
        <v/>
      </c>
      <c r="E22" s="16">
        <f>IF(OR(B22="",C22=""),"",MAX(0,180-C22))</f>
        <v/>
      </c>
      <c r="F22" s="11">
        <f>IF(OR(B22="",C22="",D22=""),"Not priced",B22*1000*D22*E22/30)</f>
        <v/>
      </c>
      <c r="G22" s="5" t="n"/>
    </row>
    <row r="23">
      <c r="A23" s="5" t="inlineStr">
        <is>
          <t>Group 19</t>
        </is>
      </c>
      <c r="B23" s="14" t="n"/>
      <c r="C23" s="15" t="n"/>
      <c r="D23" s="11">
        <f>VLOOKUP('Main inputs'!B6,'Tariffs by region'!A:O,5,FALSE)</f>
        <v/>
      </c>
      <c r="E23" s="16">
        <f>IF(OR(B23="",C23=""),"",MAX(0,180-C23))</f>
        <v/>
      </c>
      <c r="F23" s="11">
        <f>IF(OR(B23="",C23="",D23=""),"Not priced",B23*1000*D23*E23/30)</f>
        <v/>
      </c>
      <c r="G23" s="5" t="n"/>
    </row>
    <row r="24">
      <c r="A24" s="5" t="inlineStr">
        <is>
          <t>Group 20</t>
        </is>
      </c>
      <c r="B24" s="14" t="n"/>
      <c r="C24" s="15" t="n"/>
      <c r="D24" s="11">
        <f>VLOOKUP('Main inputs'!B6,'Tariffs by region'!A:O,5,FALSE)</f>
        <v/>
      </c>
      <c r="E24" s="16">
        <f>IF(OR(B24="",C24=""),"",MAX(0,180-C24))</f>
        <v/>
      </c>
      <c r="F24" s="11">
        <f>IF(OR(B24="",C24="",D24=""),"Not priced",B24*1000*D24*E24/30)</f>
        <v/>
      </c>
      <c r="G24" s="5" t="n"/>
    </row>
    <row r="26">
      <c r="A26" s="12" t="inlineStr">
        <is>
          <t>Total early-delete charge</t>
        </is>
      </c>
      <c r="B26" s="4" t="n"/>
      <c r="C26" s="4" t="n"/>
      <c r="D26" s="4" t="n"/>
      <c r="E26" s="4" t="n"/>
      <c r="F26" s="17">
        <f>SUM(F5:F24)</f>
        <v/>
      </c>
    </row>
  </sheetData>
  <mergeCells count="2">
    <mergeCell ref="A2:H2"/>
    <mergeCell ref="A1:H1"/>
  </mergeCells>
  <pageMargins left="0.25" right="0.2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27" customWidth="1" min="2" max="2"/>
    <col width="84" customWidth="1" min="3" max="3"/>
  </cols>
  <sheetData>
    <row r="1" ht="32" customHeight="1">
      <c r="A1" s="1" t="inlineStr">
        <is>
          <t>Executive summary</t>
        </is>
      </c>
    </row>
    <row r="2" ht="34" customHeight="1">
      <c r="A2" s="2" t="inlineStr">
        <is>
          <t>One-time AWS migration, optional early delete and OCI are separated to avoid confusing migration cost with the recurring destination-storage expense.</t>
        </is>
      </c>
    </row>
    <row r="4">
      <c r="A4" s="3" t="inlineStr">
        <is>
          <t>Metric</t>
        </is>
      </c>
      <c r="B4" s="3" t="inlineStr">
        <is>
          <t>Estimated value</t>
        </is>
      </c>
      <c r="C4" s="3" t="inlineStr">
        <is>
          <t>Interpretation</t>
        </is>
      </c>
    </row>
    <row r="5">
      <c r="A5" s="4" t="inlineStr">
        <is>
          <t>Scenario</t>
        </is>
      </c>
      <c r="B5" s="4">
        <f>'Main inputs'!B5</f>
        <v/>
      </c>
      <c r="C5" s="4" t="inlineStr">
        <is>
          <t>Editable scenario label.</t>
        </is>
      </c>
    </row>
    <row r="6">
      <c r="A6" s="4" t="inlineStr">
        <is>
          <t>Data volume</t>
        </is>
      </c>
      <c r="B6" s="7">
        <f>'Main inputs'!B7</f>
        <v/>
      </c>
      <c r="C6" s="4" t="inlineStr">
        <is>
          <t>Decimal TB.</t>
        </is>
      </c>
    </row>
    <row r="7">
      <c r="A7" s="4" t="inlineStr">
        <is>
          <t>Number of waves</t>
        </is>
      </c>
      <c r="B7" s="18">
        <f>'Main inputs'!B26</f>
        <v/>
      </c>
      <c r="C7" s="4" t="inlineStr">
        <is>
          <t>Wave size is configurable.</t>
        </is>
      </c>
    </row>
    <row r="8">
      <c r="A8" s="4" t="inlineStr">
        <is>
          <t>AWS one-time cost / wave</t>
        </is>
      </c>
      <c r="B8" s="11">
        <f>'AWS estimate'!F16</f>
        <v/>
      </c>
      <c r="C8" s="4" t="inlineStr">
        <is>
          <t>Includes retrieval, temporary restore, requests and optional outbound.</t>
        </is>
      </c>
    </row>
    <row r="9">
      <c r="A9" s="4" t="inlineStr">
        <is>
          <t>AWS one-time cost / project</t>
        </is>
      </c>
      <c r="B9" s="11">
        <f>'AWS estimate'!F17</f>
        <v/>
      </c>
      <c r="C9" s="4" t="inlineStr">
        <is>
          <t>Public or contracted rate depending on the tariff table.</t>
        </is>
      </c>
    </row>
    <row r="10">
      <c r="A10" s="4" t="inlineStr">
        <is>
          <t>Early Deep Archive delete</t>
        </is>
      </c>
      <c r="B10" s="11">
        <f>IF('Main inputs'!B22,'Early Deep Archive delete'!F26,0)</f>
        <v/>
      </c>
      <c r="C10" s="4" t="inlineStr">
        <is>
          <t>Only included when explicitly enabled.</t>
        </is>
      </c>
    </row>
    <row r="11">
      <c r="A11" s="4" t="inlineStr">
        <is>
          <t>OCI one-time migration cost</t>
        </is>
      </c>
      <c r="B11" s="11">
        <f>'OCI estimate'!E11</f>
        <v/>
      </c>
      <c r="C11" s="4" t="inlineStr">
        <is>
          <t>Writes plus storage accrued while the migration is running.</t>
        </is>
      </c>
    </row>
    <row r="12">
      <c r="A12" s="4" t="inlineStr">
        <is>
          <t>Migration one-time total</t>
        </is>
      </c>
      <c r="B12" s="13">
        <f>B9+B10+B11</f>
        <v/>
      </c>
      <c r="C12" s="4" t="inlineStr">
        <is>
          <t>Excludes future recurring OCI storage.</t>
        </is>
      </c>
    </row>
    <row r="13">
      <c r="A13" s="4" t="inlineStr">
        <is>
          <t>OCI recurring final storage / month</t>
        </is>
      </c>
      <c r="B13" s="13">
        <f>'OCI estimate'!E12</f>
        <v/>
      </c>
      <c r="C13" s="4" t="inlineStr">
        <is>
          <t>Expected monthly cost after all data is present in OCI.</t>
        </is>
      </c>
    </row>
    <row r="16">
      <c r="A16" s="19" t="inlineStr">
        <is>
          <t>Decision reminders</t>
        </is>
      </c>
    </row>
    <row r="17" ht="92" customHeight="1">
      <c r="A17" s="20" t="inlineStr">
        <is>
          <t>• For Deep Archive BULK, 48 hours is the safer temporary-copy retention default.
• FastConnect/Direct Connect can change the outbound cost, but partner circuit charges are not modeled unless entered manually.
• 600 TB is above AWS’s 500 TB/month public-price threshold: obtain a written commercial quote and enter the agreed outbound rate.
• Early-delete values require the true Deep Archive age distribution; last-modified date alone may not be the transition date.</t>
        </is>
      </c>
    </row>
    <row r="18"/>
    <row r="19"/>
    <row r="20"/>
    <row r="21"/>
  </sheetData>
  <mergeCells count="3">
    <mergeCell ref="A17:C21"/>
    <mergeCell ref="A2:H2"/>
    <mergeCell ref="A1:H1"/>
  </mergeCells>
  <pageMargins left="0.25" right="0.2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2026-08-19T08:42:01Z</dcterms:created>
  <dcterms:modified xsi:type="dcterms:W3CDTF">2026-08-19T08:42:01Z</dcterms:modified>
</cp:coreProperties>
</file>