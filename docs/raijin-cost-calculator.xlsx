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6440" tabRatio="600" firstSheet="0" activeTab="0" autoFilterDateGrouping="1"/>
  </bookViews>
  <sheets>
    <sheet name="Dados da transferência" sheetId="1" state="visible" r:id="rId1"/>
    <sheet name="Tarifas por região" sheetId="2" state="visible" r:id="rId2"/>
    <sheet name="Resumo" sheetId="3" state="visible" r:id="rId3"/>
  </sheets>
  <definedNames>
    <definedName name="_xlnm._FilterDatabase" localSheetId="1" hidden="1">'Tarifas por região'!$A$4:$K$54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;[Red]\-#,##0;0"/>
    <numFmt numFmtId="165" formatCode="\$\ #,##0.000000;[Red]\-\$\ #,##0.000000;\$\ 0.000000"/>
    <numFmt numFmtId="166" formatCode="\$\ #,##0.00;[Red]\-\$\ #,##0.00;\$\ 0.00"/>
    <numFmt numFmtId="167" formatCode="_-[$R$-416]\ * #,##0.00_-;\-[$R$-416]\ * #,##0.00_-;_-[$R$-416]\ * &quot;-&quot;??_-;_-@_-"/>
    <numFmt numFmtId="168" formatCode="_-&quot;R$&quot;\ * #,##0.00_-;\-&quot;R$&quot;\ * #,##0.00_-;_-&quot;R$&quot;\ * &quot;-&quot;??_-;_-@_-"/>
  </numFmts>
  <fonts count="10">
    <font>
      <name val="Calibri"/>
      <family val="2"/>
      <color theme="1"/>
      <sz val="11"/>
      <scheme val="minor"/>
    </font>
    <font>
      <name val="Calibri"/>
      <b val="1"/>
      <color rgb="FFF8FAFC"/>
      <sz val="18"/>
    </font>
    <font>
      <name val="Calibri"/>
      <i val="1"/>
      <color rgb="FFC5D2E8"/>
      <sz val="10"/>
    </font>
    <font>
      <name val="Calibri"/>
      <b val="1"/>
      <color rgb="FFF8FAFC"/>
      <sz val="11"/>
    </font>
    <font>
      <name val="Calibri"/>
      <color rgb="FFF8FAFC"/>
      <sz val="11"/>
    </font>
    <font>
      <name val="Calibri"/>
      <color rgb="FF111827"/>
      <sz val="11"/>
    </font>
    <font>
      <name val="Calibri"/>
      <b val="1"/>
      <color rgb="FFF8FAFC"/>
      <sz val="14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color rgb="FFF8FAFC"/>
      <sz val="11"/>
    </font>
  </fonts>
  <fills count="8">
    <fill>
      <patternFill/>
    </fill>
    <fill>
      <patternFill patternType="gray125"/>
    </fill>
    <fill>
      <patternFill patternType="solid">
        <fgColor rgb="FF101A2D"/>
      </patternFill>
    </fill>
    <fill>
      <patternFill patternType="solid">
        <fgColor rgb="FF19263E"/>
      </patternFill>
    </fill>
    <fill>
      <patternFill patternType="solid">
        <fgColor rgb="FF3B82F6"/>
      </patternFill>
    </fill>
    <fill>
      <patternFill patternType="solid">
        <fgColor rgb="FFFFF2CC"/>
      </patternFill>
    </fill>
    <fill>
      <patternFill patternType="solid">
        <fgColor rgb="FF0F5132"/>
      </patternFill>
    </fill>
    <fill>
      <patternFill patternType="solid">
        <fgColor rgb="FF166534"/>
      </patternFill>
    </fill>
  </fills>
  <borders count="12">
    <border>
      <left/>
      <right/>
      <top/>
      <bottom/>
      <diagonal/>
    </border>
    <border>
      <left style="thin">
        <color rgb="FF4B5E7A"/>
      </left>
      <right style="thin">
        <color rgb="FF4B5E7A"/>
      </right>
      <top style="thin">
        <color rgb="FF4B5E7A"/>
      </top>
      <bottom style="thin">
        <color rgb="FF4B5E7A"/>
      </bottom>
      <diagonal/>
    </border>
    <border>
      <left style="thin">
        <color rgb="FF4B5E7A"/>
      </left>
      <right/>
      <top style="thin">
        <color rgb="FF4B5E7A"/>
      </top>
      <bottom style="thin">
        <color rgb="FF4B5E7A"/>
      </bottom>
      <diagonal/>
    </border>
    <border>
      <left/>
      <right style="thin">
        <color rgb="FF4B5E7A"/>
      </right>
      <top style="thin">
        <color rgb="FF4B5E7A"/>
      </top>
      <bottom style="thin">
        <color rgb="FF4B5E7A"/>
      </bottom>
      <diagonal/>
    </border>
    <border>
      <left/>
      <right/>
      <top style="thin">
        <color rgb="FF4B5E7A"/>
      </top>
      <bottom style="thin">
        <color rgb="FF4B5E7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B5E7A"/>
      </left>
      <right style="thin">
        <color rgb="FF4B5E7A"/>
      </right>
      <top style="thin">
        <color rgb="FF4B5E7A"/>
      </top>
      <bottom/>
      <diagonal/>
    </border>
    <border>
      <left style="thin">
        <color rgb="FF4B5E7A"/>
      </left>
      <right style="thin">
        <color rgb="FF4B5E7A"/>
      </right>
      <top/>
      <bottom style="thin">
        <color rgb="FF4B5E7A"/>
      </bottom>
      <diagonal/>
    </border>
    <border>
      <left/>
      <right/>
      <top style="thin">
        <color rgb="FF4B5E7A"/>
      </top>
      <bottom/>
      <diagonal/>
    </border>
    <border>
      <left/>
      <right style="thin">
        <color rgb="FF4B5E7A"/>
      </right>
      <top style="thin">
        <color rgb="FF4B5E7A"/>
      </top>
      <bottom/>
      <diagonal/>
    </border>
    <border>
      <left style="thin">
        <color rgb="FF4B5E7A"/>
      </left>
      <right/>
      <top/>
      <bottom/>
      <diagonal/>
    </border>
    <border>
      <left style="thin">
        <color rgb="FF4B5E7A"/>
      </left>
      <right style="thin">
        <color rgb="FF4B5E7A"/>
      </right>
      <top/>
      <bottom/>
      <diagonal/>
    </border>
  </borders>
  <cellStyleXfs count="2">
    <xf numFmtId="0" fontId="7" fillId="0" borderId="0"/>
    <xf numFmtId="44" fontId="7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0" fontId="9" fillId="3" borderId="0" applyAlignment="1" pivotButton="0" quotePrefix="0" xfId="0">
      <alignment vertical="center" wrapText="1"/>
    </xf>
    <xf numFmtId="164" fontId="5" fillId="5" borderId="6" applyAlignment="1" pivotButton="0" quotePrefix="0" xfId="0">
      <alignment horizontal="center" vertical="center" wrapText="1"/>
    </xf>
    <xf numFmtId="164" fontId="5" fillId="5" borderId="5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7" fontId="0" fillId="0" borderId="0" pivotButton="0" quotePrefix="0" xfId="0"/>
    <xf numFmtId="165" fontId="5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7" borderId="2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8" fillId="3" borderId="4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168" fontId="4" fillId="3" borderId="0" applyAlignment="1" pivotButton="0" quotePrefix="0" xfId="1">
      <alignment vertical="center" wrapText="1"/>
    </xf>
    <xf numFmtId="0" fontId="0" fillId="0" borderId="7" pivotButton="0" quotePrefix="0" xfId="0"/>
    <xf numFmtId="0" fontId="6" fillId="7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3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2">
    <cellStyle name="Normal" xfId="0" builtinId="0"/>
    <cellStyle name="Currency" xfId="1" builtinId="4"/>
  </cellStyles>
  <dxfs count="2">
    <dxf>
      <font>
        <b val="1"/>
        <color theme="0"/>
      </font>
      <fill>
        <patternFill>
          <fgColor theme="0"/>
          <bgColor rgb="FF00B050"/>
        </patternFill>
      </fill>
    </dxf>
    <dxf>
      <font>
        <b val="1"/>
        <color theme="0"/>
      </font>
      <fill>
        <patternFill>
          <fgColor theme="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tabSelected="1" workbookViewId="0">
      <pane ySplit="4" topLeftCell="A5" activePane="bottomLeft" state="frozen"/>
      <selection pane="bottomLeft" activeCell="B6" sqref="B6"/>
    </sheetView>
  </sheetViews>
  <sheetFormatPr baseColWidth="8" defaultRowHeight="14.4"/>
  <cols>
    <col width="46.5546875" bestFit="1" customWidth="1" style="30" min="1" max="1"/>
    <col width="15.6640625" customWidth="1" style="30" min="2" max="2"/>
    <col width="98.44140625" bestFit="1" customWidth="1" style="30" min="3" max="3"/>
  </cols>
  <sheetData>
    <row r="1" ht="31.95" customHeight="1" s="30">
      <c r="A1" s="25" t="inlineStr">
        <is>
          <t>RAIJIN — Dados da transferência</t>
        </is>
      </c>
    </row>
    <row r="2" ht="31.95" customHeight="1" s="30">
      <c r="A2" s="26" t="inlineStr">
        <is>
          <t>Preencha somente as células amarelas. Use unidades decimais: 1 TB = 1.000 GB. Os custos são calculados automaticamente na aba Resumo.</t>
        </is>
      </c>
    </row>
    <row r="4">
      <c r="A4" s="1" t="inlineStr">
        <is>
          <t>Informação</t>
        </is>
      </c>
      <c r="B4" s="9" t="inlineStr">
        <is>
          <t>Valor</t>
        </is>
      </c>
      <c r="C4" s="1" t="inlineStr">
        <is>
          <t>O que informar e impacto no cálculo</t>
        </is>
      </c>
    </row>
    <row r="5" ht="34.8" customHeight="1" s="30">
      <c r="A5" s="2" t="inlineStr">
        <is>
          <t>Região AWS</t>
        </is>
      </c>
      <c r="B5" s="4" t="inlineStr">
        <is>
          <t>sa-east-1</t>
        </is>
      </c>
      <c r="C5" s="2" t="inlineStr">
        <is>
          <t>Informe o código da região do bucket de origem, por exemplo sa-east-1 ou us-east-1. Deve existir uma linha correspondente na aba Tarifas por região.</t>
        </is>
      </c>
    </row>
    <row r="6" ht="34.8" customHeight="1" s="30">
      <c r="A6" s="2" t="inlineStr">
        <is>
          <t>Dados totais a transferir (TB)</t>
        </is>
      </c>
      <c r="B6" s="5" t="n">
        <v>1500</v>
      </c>
      <c r="C6" s="2" t="inlineStr">
        <is>
          <t>Informe todo o volume da origem em TB decimais. Exemplo: 600 significa 600.000 GB. É usado no custo total e na quantidade de waves.</t>
        </is>
      </c>
    </row>
    <row r="7" ht="34.8" customHeight="1" s="30">
      <c r="A7" s="2" t="inlineStr">
        <is>
          <t>Quantidade total de arquivos</t>
        </is>
      </c>
      <c r="B7" s="5" t="n">
        <v>9600000</v>
      </c>
      <c r="C7" s="2" t="inlineStr">
        <is>
          <t>Informe a quantidade de objetos do discovery S3. Ela determina as estimativas de requests, Batch Operations e polling.</t>
        </is>
      </c>
    </row>
    <row r="8" ht="34.8" customHeight="1" s="30">
      <c r="A8" s="2" t="inlineStr">
        <is>
          <t>Tamanho máximo da wave (TB)</t>
        </is>
      </c>
      <c r="B8" s="5" t="n">
        <v>10</v>
      </c>
      <c r="C8" s="2" t="inlineStr">
        <is>
          <t>Informe o limite de dados por wave. A planilha arredonda a quantidade de waves para cima; a última pode ser menor.</t>
        </is>
      </c>
    </row>
    <row r="9" ht="34.8" customHeight="1" s="30">
      <c r="A9" s="2" t="inlineStr">
        <is>
          <t>Quantidade calculada de waves</t>
        </is>
      </c>
      <c r="B9" s="6">
        <f>ROUNDUP(B6/B8,0)</f>
        <v/>
      </c>
      <c r="C9" s="2" t="inlineStr">
        <is>
          <t>Campo calculado automaticamente a partir dos dados totais e do tamanho máximo da wave. Não editar.</t>
        </is>
      </c>
    </row>
    <row r="10" ht="34.8" customHeight="1" s="30">
      <c r="A10" s="2" t="inlineStr">
        <is>
          <t>Percentual em Deep Archive</t>
        </is>
      </c>
      <c r="B10" s="7" t="n">
        <v>1</v>
      </c>
      <c r="C10" s="2" t="inlineStr">
        <is>
          <t>Informe uma fração entre 0 e 1. Use 1 para 100% dos dados em DEEP_ARCHIVE, 0,5 para 50%. Apenas essa parcela recebe custos de restore.</t>
        </is>
      </c>
    </row>
    <row r="11" ht="34.8" customHeight="1" s="30">
      <c r="A11" s="2" t="inlineStr">
        <is>
          <t>Tier de restore</t>
        </is>
      </c>
      <c r="B11" s="4" t="inlineStr">
        <is>
          <t>BULK</t>
        </is>
      </c>
      <c r="C11" s="2" t="inlineStr">
        <is>
          <t>Selecione BULK para menor custo e maior prazo, ou STANDARD para maior velocidade e custo. Aplica-se à parcela Deep Archive.</t>
        </is>
      </c>
    </row>
    <row r="12" ht="34.8" customHeight="1" s="30">
      <c r="A12" s="2" t="inlineStr">
        <is>
          <t>Retenção do restore (dias)</t>
        </is>
      </c>
      <c r="B12" s="5" t="n">
        <v>1</v>
      </c>
      <c r="C12" s="2" t="inlineStr">
        <is>
          <t>Informe por quantos dias a cópia temporária S3 Standard ficará disponível após o restore terminar. Para Deep Archive BULK, 2 a 3 dias é mais seguro.</t>
        </is>
      </c>
    </row>
    <row r="13" ht="34.8" customHeight="1" s="30">
      <c r="A13" s="2" t="inlineStr">
        <is>
          <t>Ciclos esperados de polling por wave</t>
        </is>
      </c>
      <c r="B13" s="5" t="n">
        <v>48</v>
      </c>
      <c r="C13" s="2" t="inlineStr">
        <is>
          <t>Informe quantas verificações de disponibilidade a plataforma deve fazer, em média, até o restore ficar pronto. É uma estimativa conservadora de requests.</t>
        </is>
      </c>
    </row>
    <row r="14" ht="34.8" customHeight="1" s="30">
      <c r="A14" s="2" t="inlineStr">
        <is>
          <t>Preservar tags S3</t>
        </is>
      </c>
      <c r="B14" s="4" t="b">
        <v>1</v>
      </c>
      <c r="C14" s="2" t="inlineStr">
        <is>
          <t>Use TRUE quando as tags S3 devem ser copiadas. Isso adiciona uma leitura GET/TAG por arquivo. Use FALSE quando tags não são necessárias.</t>
        </is>
      </c>
    </row>
    <row r="15" ht="34.8" customHeight="1" s="30">
      <c r="A15" s="2" t="inlineStr">
        <is>
          <t>Vazão efetiva estimada (Mbps)</t>
        </is>
      </c>
      <c r="B15" s="14" t="n">
        <v>1200</v>
      </c>
      <c r="C15" s="2" t="inlineStr">
        <is>
          <t>Informe a vazão média efetiva esperada para a cópia, em Mbps. Use uma taxa sustentável medida ou conservadora — não necessariamente a capacidade nominal do link. É usada somente na estimativa de tempo.</t>
        </is>
      </c>
    </row>
    <row r="16" ht="34.8" customHeight="1" s="30">
      <c r="A16" s="13" t="inlineStr">
        <is>
          <t>Dias uteis no mes para execusao da copia</t>
        </is>
      </c>
      <c r="B16" s="15" t="n">
        <v>22</v>
      </c>
      <c r="C16" s="13" t="inlineStr">
        <is>
          <t>A quantidade de dias que serão usados efetivamente para executar a copia dos dados. Usado para o calculo de tempo total gasto na transferencia.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  <headerFooter>
    <oddHeader>&amp;L&amp;"Calibri"&amp;1 &amp;K000000 Confidential - Oracle Restricted \Employees Only#_x000d_</oddHeader>
    <oddFooter>&amp;L&amp;"Calibri"&amp;10 &amp;K000000_x000d_# Confidential - Oracle Restricted \Employees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ySplit="4" topLeftCell="A5" activePane="bottomLeft" state="frozen"/>
      <selection pane="bottomLeft" activeCell="D8" sqref="D8"/>
    </sheetView>
  </sheetViews>
  <sheetFormatPr baseColWidth="8" defaultRowHeight="14.4"/>
  <cols>
    <col width="13.5546875" bestFit="1" customWidth="1" style="28" min="1" max="1"/>
    <col width="9.33203125" bestFit="1" customWidth="1" style="28" min="2" max="2"/>
    <col width="16.6640625" bestFit="1" customWidth="1" style="28" min="3" max="3"/>
    <col width="19.44140625" bestFit="1" customWidth="1" style="28" min="4" max="4"/>
    <col width="26.5546875" bestFit="1" customWidth="1" style="28" min="5" max="5"/>
    <col width="20.6640625" bestFit="1" customWidth="1" style="28" min="6" max="6"/>
    <col width="13.44140625" bestFit="1" customWidth="1" style="28" min="7" max="7"/>
    <col width="13.33203125" bestFit="1" customWidth="1" style="28" min="8" max="8"/>
    <col width="11.33203125" bestFit="1" customWidth="1" style="28" min="9" max="9"/>
    <col width="14.33203125" bestFit="1" customWidth="1" style="28" min="10" max="10"/>
    <col width="82.6640625" bestFit="1" customWidth="1" style="24" min="11" max="11"/>
    <col width="8.88671875" customWidth="1" style="28" min="12" max="16383"/>
  </cols>
  <sheetData>
    <row r="1" ht="31.95" customHeight="1" s="30">
      <c r="A1" s="29" t="inlineStr">
        <is>
          <t>Tarifas por região</t>
        </is>
      </c>
    </row>
    <row r="2" ht="31.95" customHeight="1" s="30">
      <c r="A2" s="36" t="inlineStr">
        <is>
          <t>Use somente preços públicos AWS. O script de atualização preenche as colunas públicas suportadas para sa-east-1 e us-east-1.</t>
        </is>
      </c>
    </row>
    <row r="4" ht="43.2" customHeight="1" s="30">
      <c r="A4" s="9" t="inlineStr">
        <is>
          <t>Região AWS</t>
        </is>
      </c>
      <c r="B4" s="9" t="inlineStr">
        <is>
          <t>Moeda</t>
        </is>
      </c>
      <c r="C4" s="9" t="inlineStr">
        <is>
          <t>Outbound AWS Internet
US$/GB</t>
        </is>
      </c>
      <c r="D4" s="9" t="inlineStr">
        <is>
          <t>Recuperação Deep Archive BULK
US$/GB</t>
        </is>
      </c>
      <c r="E4" s="9" t="inlineStr">
        <is>
          <t>Recuperação Deep Archive STANDARD
US$/GB</t>
        </is>
      </c>
      <c r="F4" s="9" t="inlineStr">
        <is>
          <t>Cópia temporária S3 Standard
US$/GB-mês</t>
        </is>
      </c>
      <c r="G4" s="9" t="inlineStr">
        <is>
          <t>S3 PUT/LIST
US$/1.000</t>
        </is>
      </c>
      <c r="H4" s="9" t="inlineStr">
        <is>
          <t>S3 GET/TAG
US$/1.000</t>
        </is>
      </c>
      <c r="I4" s="9" t="inlineStr">
        <is>
          <t>Job Batch
US$/job</t>
        </is>
      </c>
      <c r="J4" s="9" t="inlineStr">
        <is>
          <t>Objeto Batch
US$/objeto</t>
        </is>
      </c>
      <c r="K4" s="22" t="inlineStr">
        <is>
          <t>Fonte pública / observações</t>
        </is>
      </c>
    </row>
    <row r="5" ht="27" customHeight="1" s="30">
      <c r="A5" s="4" t="inlineStr">
        <is>
          <t>sa-east-1</t>
        </is>
      </c>
      <c r="B5" s="4" t="inlineStr">
        <is>
          <t>USD</t>
        </is>
      </c>
      <c r="C5" s="21" t="n">
        <v>0.15</v>
      </c>
      <c r="D5" s="21" t="n">
        <v>0.008</v>
      </c>
      <c r="E5" s="21" t="n">
        <v>0.028</v>
      </c>
      <c r="F5" s="21" t="n">
        <v>0.0405</v>
      </c>
      <c r="G5" s="21" t="n">
        <v>0.007</v>
      </c>
      <c r="H5" s="21" t="n">
        <v>0.00056</v>
      </c>
      <c r="I5" s="21" t="n">
        <v>0.25</v>
      </c>
      <c r="J5" s="21" t="n">
        <v>1.5e-05</v>
      </c>
      <c r="K5" s="23" t="inlineStr">
        <is>
          <t>Valores públicos AWS coletados pelo Raijin em 19/08/2026. Atualize antes de aprovar gastos.</t>
        </is>
      </c>
    </row>
    <row r="6" ht="27" customHeight="1" s="30">
      <c r="A6" s="4" t="inlineStr">
        <is>
          <t>us-east-1</t>
        </is>
      </c>
      <c r="B6" s="4" t="inlineStr">
        <is>
          <t>USD</t>
        </is>
      </c>
      <c r="C6" s="21" t="n">
        <v>0.09</v>
      </c>
      <c r="D6" s="21" t="n">
        <v>0.0025</v>
      </c>
      <c r="E6" s="21" t="n">
        <v>0.02</v>
      </c>
      <c r="F6" s="21" t="n">
        <v>0.0125</v>
      </c>
      <c r="G6" s="21" t="n">
        <v>0.055</v>
      </c>
      <c r="H6" s="21" t="n">
        <v>0.0004</v>
      </c>
      <c r="I6" s="21" t="n">
        <v>0.25</v>
      </c>
      <c r="J6" s="21" t="n">
        <v>0.001</v>
      </c>
      <c r="K6" s="23" t="inlineStr">
        <is>
          <t>Valores públicos de exemplo. Atualize antes de usar.</t>
        </is>
      </c>
    </row>
    <row r="7" ht="27" customHeight="1" s="30">
      <c r="A7" s="4" t="n"/>
      <c r="B7" s="4" t="n"/>
      <c r="C7" s="21" t="n"/>
      <c r="D7" s="21" t="n"/>
      <c r="E7" s="21" t="n"/>
      <c r="F7" s="21" t="n"/>
      <c r="G7" s="21" t="n"/>
      <c r="H7" s="21" t="n"/>
      <c r="I7" s="21" t="n"/>
      <c r="J7" s="21" t="n"/>
      <c r="K7" s="23" t="n"/>
    </row>
    <row r="8" ht="27" customHeight="1" s="30">
      <c r="A8" s="4" t="n"/>
      <c r="B8" s="4" t="n"/>
      <c r="C8" s="21" t="n"/>
      <c r="D8" s="21" t="n"/>
      <c r="E8" s="21" t="n"/>
      <c r="F8" s="21" t="n"/>
      <c r="G8" s="21" t="n"/>
      <c r="H8" s="21" t="n"/>
      <c r="I8" s="21" t="n"/>
      <c r="J8" s="21" t="n"/>
      <c r="K8" s="23" t="n"/>
    </row>
    <row r="9" ht="27" customHeight="1" s="30">
      <c r="A9" s="4" t="n"/>
      <c r="B9" s="4" t="n"/>
      <c r="C9" s="21" t="n"/>
      <c r="D9" s="21" t="n"/>
      <c r="E9" s="21" t="n"/>
      <c r="F9" s="21" t="n"/>
      <c r="G9" s="21" t="n"/>
      <c r="H9" s="21" t="n"/>
      <c r="I9" s="21" t="n"/>
      <c r="J9" s="21" t="n"/>
      <c r="K9" s="23" t="n"/>
    </row>
    <row r="10" ht="27" customHeight="1" s="30">
      <c r="A10" s="4" t="n"/>
      <c r="B10" s="4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3" t="n"/>
    </row>
    <row r="11" ht="27" customHeight="1" s="30">
      <c r="A11" s="4" t="n"/>
      <c r="B11" s="4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3" t="n"/>
    </row>
    <row r="12" ht="27" customHeight="1" s="30">
      <c r="A12" s="4" t="n"/>
      <c r="B12" s="4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3" t="n"/>
    </row>
    <row r="13" ht="27" customHeight="1" s="30">
      <c r="A13" s="4" t="n"/>
      <c r="B13" s="4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3" t="n"/>
    </row>
    <row r="14" ht="27" customHeight="1" s="30">
      <c r="A14" s="4" t="n"/>
      <c r="B14" s="4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 t="n"/>
    </row>
    <row r="15" ht="27" customHeight="1" s="30">
      <c r="A15" s="4" t="n"/>
      <c r="B15" s="4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3" t="n"/>
    </row>
    <row r="16" ht="27" customHeight="1" s="30">
      <c r="A16" s="4" t="n"/>
      <c r="B16" s="4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3" t="n"/>
    </row>
    <row r="17" ht="27" customHeight="1" s="30">
      <c r="A17" s="4" t="n"/>
      <c r="B17" s="4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3" t="n"/>
    </row>
    <row r="18" ht="27" customHeight="1" s="30">
      <c r="A18" s="4" t="n"/>
      <c r="B18" s="4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3" t="n"/>
    </row>
    <row r="19" ht="27" customHeight="1" s="30">
      <c r="A19" s="4" t="n"/>
      <c r="B19" s="4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3" t="n"/>
    </row>
    <row r="20" ht="27" customHeight="1" s="30">
      <c r="A20" s="4" t="n"/>
      <c r="B20" s="4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3" t="n"/>
    </row>
    <row r="21" ht="27" customHeight="1" s="30">
      <c r="A21" s="4" t="n"/>
      <c r="B21" s="4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3" t="n"/>
    </row>
    <row r="22" ht="27" customHeight="1" s="30">
      <c r="A22" s="4" t="n"/>
      <c r="B22" s="4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3" t="n"/>
    </row>
    <row r="23" ht="27" customHeight="1" s="30">
      <c r="A23" s="4" t="n"/>
      <c r="B23" s="4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3" t="n"/>
    </row>
    <row r="24" ht="27" customHeight="1" s="30">
      <c r="A24" s="4" t="n"/>
      <c r="B24" s="4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3" t="n"/>
    </row>
    <row r="25" ht="27" customHeight="1" s="30">
      <c r="A25" s="4" t="n"/>
      <c r="B25" s="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3" t="n"/>
    </row>
    <row r="26" ht="27" customHeight="1" s="30">
      <c r="A26" s="4" t="n"/>
      <c r="B26" s="4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3" t="n"/>
    </row>
    <row r="27" ht="27" customHeight="1" s="30">
      <c r="A27" s="4" t="n"/>
      <c r="B27" s="4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3" t="n"/>
    </row>
    <row r="28" ht="27" customHeight="1" s="30">
      <c r="A28" s="4" t="n"/>
      <c r="B28" s="4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3" t="n"/>
    </row>
    <row r="29" ht="27" customHeight="1" s="30">
      <c r="A29" s="4" t="n"/>
      <c r="B29" s="4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3" t="n"/>
    </row>
    <row r="30" ht="27" customHeight="1" s="30">
      <c r="A30" s="4" t="n"/>
      <c r="B30" s="4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3" t="n"/>
    </row>
    <row r="31" ht="27" customHeight="1" s="30">
      <c r="A31" s="4" t="n"/>
      <c r="B31" s="4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3" t="n"/>
    </row>
    <row r="32" ht="27" customHeight="1" s="30">
      <c r="A32" s="4" t="n"/>
      <c r="B32" s="4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3" t="n"/>
    </row>
    <row r="33" ht="27" customHeight="1" s="30">
      <c r="A33" s="4" t="n"/>
      <c r="B33" s="4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3" t="n"/>
    </row>
    <row r="34" ht="27" customHeight="1" s="30">
      <c r="A34" s="4" t="n"/>
      <c r="B34" s="4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3" t="n"/>
    </row>
    <row r="35" ht="27" customHeight="1" s="30">
      <c r="A35" s="4" t="n"/>
      <c r="B35" s="4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3" t="n"/>
    </row>
    <row r="36" ht="27" customHeight="1" s="30">
      <c r="A36" s="4" t="n"/>
      <c r="B36" s="4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3" t="n"/>
    </row>
    <row r="37" ht="27" customHeight="1" s="30">
      <c r="A37" s="4" t="n"/>
      <c r="B37" s="4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3" t="n"/>
    </row>
    <row r="38" ht="27" customHeight="1" s="30">
      <c r="A38" s="4" t="n"/>
      <c r="B38" s="4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3" t="n"/>
    </row>
    <row r="39" ht="27" customHeight="1" s="30">
      <c r="A39" s="4" t="n"/>
      <c r="B39" s="4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3" t="n"/>
    </row>
    <row r="40" ht="27" customHeight="1" s="30">
      <c r="A40" s="4" t="n"/>
      <c r="B40" s="4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3" t="n"/>
    </row>
    <row r="41" ht="27" customHeight="1" s="30">
      <c r="A41" s="4" t="n"/>
      <c r="B41" s="4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3" t="n"/>
    </row>
    <row r="42" ht="27" customHeight="1" s="30">
      <c r="A42" s="4" t="n"/>
      <c r="B42" s="4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3" t="n"/>
    </row>
    <row r="43" ht="27" customHeight="1" s="30">
      <c r="A43" s="4" t="n"/>
      <c r="B43" s="4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3" t="n"/>
    </row>
    <row r="44" ht="27" customHeight="1" s="30">
      <c r="A44" s="4" t="n"/>
      <c r="B44" s="4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3" t="n"/>
    </row>
    <row r="45" ht="27" customHeight="1" s="30">
      <c r="A45" s="4" t="n"/>
      <c r="B45" s="4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3" t="n"/>
    </row>
    <row r="46" ht="27" customHeight="1" s="30">
      <c r="A46" s="4" t="n"/>
      <c r="B46" s="4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3" t="n"/>
    </row>
    <row r="47" ht="27" customHeight="1" s="30">
      <c r="A47" s="4" t="n"/>
      <c r="B47" s="4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3" t="n"/>
    </row>
    <row r="48" ht="27" customHeight="1" s="30">
      <c r="A48" s="4" t="n"/>
      <c r="B48" s="4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3" t="n"/>
    </row>
    <row r="49" ht="27" customHeight="1" s="30">
      <c r="A49" s="4" t="n"/>
      <c r="B49" s="4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3" t="n"/>
    </row>
    <row r="50" ht="27" customHeight="1" s="30">
      <c r="A50" s="4" t="n"/>
      <c r="B50" s="4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3" t="n"/>
    </row>
    <row r="51" ht="27" customHeight="1" s="30">
      <c r="A51" s="4" t="n"/>
      <c r="B51" s="4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3" t="n"/>
    </row>
    <row r="52" ht="27" customHeight="1" s="30">
      <c r="A52" s="4" t="n"/>
      <c r="B52" s="4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3" t="n"/>
    </row>
    <row r="53" ht="27" customHeight="1" s="30">
      <c r="A53" s="4" t="n"/>
      <c r="B53" s="4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3" t="n"/>
    </row>
    <row r="54" ht="27" customHeight="1" s="30">
      <c r="A54" s="4" t="n"/>
      <c r="B54" s="4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3" t="n"/>
    </row>
  </sheetData>
  <autoFilter ref="A4:K54"/>
  <mergeCells count="2">
    <mergeCell ref="A2:K2"/>
    <mergeCell ref="A1:K1"/>
  </mergeCells>
  <pageMargins left="0.75" right="0.75" top="1" bottom="1" header="0.5" footer="0.5"/>
  <headerFooter>
    <oddHeader>&amp;L&amp;"Calibri"&amp;1 &amp;K000000 Confidential - Oracle Restricted \Employees Only#_x000d_</oddHeader>
    <oddFooter>&amp;L&amp;"Calibri"&amp;10 &amp;K000000_x000d_# Confidential - Oracle Restricted \Employees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zoomScale="110" zoomScaleNormal="110" workbookViewId="0">
      <pane ySplit="4" topLeftCell="A5" activePane="bottomLeft" state="frozen"/>
      <selection pane="bottomLeft" activeCell="F12" sqref="F12"/>
    </sheetView>
  </sheetViews>
  <sheetFormatPr baseColWidth="8" defaultRowHeight="14.4"/>
  <cols>
    <col width="41" customWidth="1" style="30" min="1" max="1"/>
    <col width="14.77734375" customWidth="1" style="30" min="2" max="2"/>
    <col width="18" customWidth="1" style="30" min="3" max="5"/>
    <col width="19.88671875" customWidth="1" style="30" min="6" max="6"/>
    <col width="48" customWidth="1" style="30" min="7" max="7"/>
    <col width="16.44140625" customWidth="1" style="28" min="8" max="8"/>
    <col width="12.88671875" bestFit="1" customWidth="1" style="30" min="9" max="9"/>
  </cols>
  <sheetData>
    <row r="1" ht="31.95" customHeight="1" s="30">
      <c r="A1" s="25" t="inlineStr">
        <is>
          <t>Resumo de custo da migração AWS</t>
        </is>
      </c>
    </row>
    <row r="2" ht="31.95" customHeight="1" s="30">
      <c r="A2" s="36" t="inlineStr">
        <is>
          <t>Todos os valores são estimativas com preços públicos AWS. Altere a chave ao lado de outbound para FALSE para excluí-lo dos totais.</t>
        </is>
      </c>
      <c r="G2" s="18" t="inlineStr">
        <is>
          <t>Cotacao do dolar</t>
        </is>
      </c>
      <c r="H2" s="39" t="n">
        <v>5.16</v>
      </c>
    </row>
    <row r="4">
      <c r="A4" s="9" t="inlineStr">
        <is>
          <t>Métrica</t>
        </is>
      </c>
      <c r="B4" s="9" t="inlineStr">
        <is>
          <t>Quantidade</t>
        </is>
      </c>
      <c r="C4" s="9" t="inlineStr">
        <is>
          <t>Unidade</t>
        </is>
      </c>
      <c r="D4" s="9" t="inlineStr">
        <is>
          <t>Tarifa usada</t>
        </is>
      </c>
      <c r="E4" s="9" t="inlineStr">
        <is>
          <t>Fonte da tarifa</t>
        </is>
      </c>
      <c r="F4" s="9" t="inlineStr">
        <is>
          <t>Custo estimado</t>
        </is>
      </c>
      <c r="G4" s="9" t="inlineStr">
        <is>
          <t>Cálculo / observação</t>
        </is>
      </c>
      <c r="H4" s="9" t="inlineStr">
        <is>
          <t>Incluir custo?</t>
        </is>
      </c>
    </row>
    <row r="5" ht="27" customHeight="1" s="30">
      <c r="A5" s="2" t="inlineStr">
        <is>
          <t>Recuperação Deep Archive BULK</t>
        </is>
      </c>
      <c r="B5" s="6">
        <f>'Dados da transferência'!B8*1000*'Dados da transferência'!B10</f>
        <v/>
      </c>
      <c r="C5" s="2" t="inlineStr">
        <is>
          <t>GB / onda</t>
        </is>
      </c>
      <c r="D5" s="11">
        <f>VLOOKUP('Dados da transferência'!B5,'Tarifas por região'!A:K,4,FALSE)</f>
        <v/>
      </c>
      <c r="E5" s="10" t="inlineStr">
        <is>
          <t>AWS pública</t>
        </is>
      </c>
      <c r="F5" s="12">
        <f>IF('Dados da transferência'!B11="BULK",IFERROR(B5*D5,"Não precificado"),0)</f>
        <v/>
      </c>
      <c r="G5" s="2" t="inlineStr">
        <is>
          <t>Somente a parcela em Deep Archive.</t>
        </is>
      </c>
      <c r="H5" s="10" t="inlineStr">
        <is>
          <t>—</t>
        </is>
      </c>
    </row>
    <row r="6" ht="27" customHeight="1" s="30">
      <c r="A6" s="2" t="inlineStr">
        <is>
          <t>Recuperação Deep Archive STANDARD</t>
        </is>
      </c>
      <c r="B6" s="6">
        <f>'Dados da transferência'!B8*1000*'Dados da transferência'!B10</f>
        <v/>
      </c>
      <c r="C6" s="2" t="inlineStr">
        <is>
          <t>GB / onda</t>
        </is>
      </c>
      <c r="D6" s="11">
        <f>VLOOKUP('Dados da transferência'!B5,'Tarifas por região'!A:K,5,FALSE)</f>
        <v/>
      </c>
      <c r="E6" s="10" t="inlineStr">
        <is>
          <t>AWS pública</t>
        </is>
      </c>
      <c r="F6" s="12">
        <f>IF('Dados da transferência'!B11="STANDARD",IFERROR(B6*D6,"Não precificado"),0)</f>
        <v/>
      </c>
      <c r="G6" s="2" t="inlineStr">
        <is>
          <t>Somente a parcela em Deep Archive.</t>
        </is>
      </c>
      <c r="H6" s="10" t="inlineStr">
        <is>
          <t>—</t>
        </is>
      </c>
    </row>
    <row r="7" ht="27" customHeight="1" s="30">
      <c r="A7" s="2" t="inlineStr">
        <is>
          <t>Cópia temporária restaurada</t>
        </is>
      </c>
      <c r="B7" s="6">
        <f>'Dados da transferência'!B8*1000*'Dados da transferência'!B10*'Dados da transferência'!B12/30</f>
        <v/>
      </c>
      <c r="C7" s="2" t="inlineStr">
        <is>
          <t>GB-mês / onda</t>
        </is>
      </c>
      <c r="D7" s="11">
        <f>VLOOKUP('Dados da transferência'!B5,'Tarifas por região'!A:K,6,FALSE)</f>
        <v/>
      </c>
      <c r="E7" s="10" t="inlineStr">
        <is>
          <t>AWS pública</t>
        </is>
      </c>
      <c r="F7" s="12">
        <f>IF(H7,IFERROR(B7*D7,"Não precificado"),"-")</f>
        <v/>
      </c>
      <c r="G7" s="2" t="inlineStr">
        <is>
          <t>Cópia S3 Standard temporária após o restore; a retenção em dias é convertida para mês.</t>
        </is>
      </c>
      <c r="H7" s="4" t="b">
        <v>1</v>
      </c>
    </row>
    <row r="8" ht="27" customHeight="1" s="30">
      <c r="A8" s="2" t="inlineStr">
        <is>
          <t>S3 Batch Operations</t>
        </is>
      </c>
      <c r="B8" s="6">
        <f>1</f>
        <v/>
      </c>
      <c r="C8" s="2" t="inlineStr">
        <is>
          <t>job / onda</t>
        </is>
      </c>
      <c r="D8" s="11">
        <f>VLOOKUP('Dados da transferência'!B5,'Tarifas por região'!A:K,9,FALSE)</f>
        <v/>
      </c>
      <c r="E8" s="10" t="inlineStr">
        <is>
          <t>AWS pública</t>
        </is>
      </c>
      <c r="F8" s="12">
        <f>IF(H8,IFERROR(B8*D8,"Não precificado"),"-")</f>
        <v/>
      </c>
      <c r="G8" s="2" t="inlineStr">
        <is>
          <t>Um job de restore por onda arquivada.</t>
        </is>
      </c>
      <c r="H8" s="4" t="b">
        <v>1</v>
      </c>
    </row>
    <row r="9" ht="27" customHeight="1" s="30">
      <c r="A9" s="2" t="inlineStr">
        <is>
          <t>Tarefas de objeto S3 Batch</t>
        </is>
      </c>
      <c r="B9" s="6">
        <f>ROUNDUP('Dados da transferência'!B7/'Dados da transferência'!B9,0)</f>
        <v/>
      </c>
      <c r="C9" s="2" t="inlineStr">
        <is>
          <t>objetos / onda</t>
        </is>
      </c>
      <c r="D9" s="11">
        <f>VLOOKUP('Dados da transferência'!B5,'Tarifas por região'!A:K,10,FALSE)</f>
        <v/>
      </c>
      <c r="E9" s="10" t="inlineStr">
        <is>
          <t>AWS pública</t>
        </is>
      </c>
      <c r="F9" s="12">
        <f>IF(H9,IFERROR(B9*D9,"Não precificado"),"-")</f>
        <v/>
      </c>
      <c r="G9" s="2" t="inlineStr">
        <is>
          <t>Tarifa de objeto normalizada para uma unidade.</t>
        </is>
      </c>
      <c r="H9" s="4" t="b">
        <v>1</v>
      </c>
    </row>
    <row r="10" ht="27" customHeight="1" s="30">
      <c r="A10" s="2" t="inlineStr">
        <is>
          <t>Discovery e polling de restore</t>
        </is>
      </c>
      <c r="B10" s="6">
        <f>(ROUNDUP('Dados da transferência'!B7/1000,0)*'Dados da transferência'!B13)+ROUNDUP('Dados da transferência'!B7/'Dados da transferência'!B9/1000,0)</f>
        <v/>
      </c>
      <c r="C10" s="2" t="inlineStr">
        <is>
          <t>solicitações / onda</t>
        </is>
      </c>
      <c r="D10" s="11">
        <f>VLOOKUP('Dados da transferência'!B5,'Tarifas por região'!A:K,7,FALSE)/1000</f>
        <v/>
      </c>
      <c r="E10" s="10" t="inlineStr">
        <is>
          <t>AWS pública</t>
        </is>
      </c>
      <c r="F10" s="12">
        <f>IF(H10,IFERROR(B10*D10,"Não precificado"),"-")</f>
        <v/>
      </c>
      <c r="G10" s="2" t="inlineStr">
        <is>
          <t>Estimativa conservadora baseada em ListObjectsV2.</t>
        </is>
      </c>
      <c r="H10" s="4" t="b">
        <v>1</v>
      </c>
    </row>
    <row r="11" ht="27" customHeight="1" s="30">
      <c r="A11" s="2" t="inlineStr">
        <is>
          <t>Leituras de objetos S3</t>
        </is>
      </c>
      <c r="B11" s="6">
        <f>ROUNDUP('Dados da transferência'!B7/'Dados da transferência'!B9,0)</f>
        <v/>
      </c>
      <c r="C11" s="2" t="inlineStr">
        <is>
          <t>solicitações / onda</t>
        </is>
      </c>
      <c r="D11" s="11">
        <f>VLOOKUP('Dados da transferência'!B5,'Tarifas por região'!A:K,8,FALSE)/1000</f>
        <v/>
      </c>
      <c r="E11" s="10" t="inlineStr">
        <is>
          <t>AWS pública</t>
        </is>
      </c>
      <c r="F11" s="12">
        <f>IF(H11,IFERROR(B11*D11,"Não precificado"),"-")</f>
        <v/>
      </c>
      <c r="G11" s="2" t="inlineStr">
        <is>
          <t>Um GetObject em streaming por arquivo.</t>
        </is>
      </c>
      <c r="H11" s="4" t="b">
        <v>1</v>
      </c>
    </row>
    <row r="12" ht="27" customHeight="1" s="30">
      <c r="A12" s="2" t="inlineStr">
        <is>
          <t>Leituras de tags S3</t>
        </is>
      </c>
      <c r="B12" s="6">
        <f>ROUNDUP('Dados da transferência'!B7/'Dados da transferência'!B9,0)</f>
        <v/>
      </c>
      <c r="C12" s="2" t="inlineStr">
        <is>
          <t>solicitações / onda</t>
        </is>
      </c>
      <c r="D12" s="11">
        <f>VLOOKUP('Dados da transferência'!B5,'Tarifas por região'!A:K,8,FALSE)/1000</f>
        <v/>
      </c>
      <c r="E12" s="10" t="inlineStr">
        <is>
          <t>AWS pública</t>
        </is>
      </c>
      <c r="F12" s="12">
        <f>IF('Dados da transferência'!B14,IFERROR(B12*D12,"Não precificado"),0)</f>
        <v/>
      </c>
      <c r="G12" s="2" t="inlineStr">
        <is>
          <t>Somente se a preservação de tags estiver habilitada.</t>
        </is>
      </c>
      <c r="H12" s="10" t="inlineStr">
        <is>
          <t>—</t>
        </is>
      </c>
    </row>
    <row r="13" ht="27" customHeight="1" s="30">
      <c r="A13" s="2" t="inlineStr">
        <is>
          <t>Outbound AWS</t>
        </is>
      </c>
      <c r="B13" s="6">
        <f>'Dados da transferência'!B8*1000</f>
        <v/>
      </c>
      <c r="C13" s="2" t="inlineStr">
        <is>
          <t>GB / onda</t>
        </is>
      </c>
      <c r="D13" s="11">
        <f>VLOOKUP('Dados da transferência'!B5,'Tarifas por região'!A:K,3,FALSE)</f>
        <v/>
      </c>
      <c r="E13" s="10" t="inlineStr">
        <is>
          <t>AWS pública</t>
        </is>
      </c>
      <c r="F13" s="12">
        <f>IF(H13,IFERROR(B13*D13,"Não precificado"),"-")</f>
        <v/>
      </c>
      <c r="G13" s="2" t="inlineStr">
        <is>
          <t>Use a chave para incluir ou excluir outbound.</t>
        </is>
      </c>
      <c r="H13" s="4" t="b">
        <v>0</v>
      </c>
    </row>
    <row r="15" ht="30" customHeight="1" s="30">
      <c r="A15" s="3" t="inlineStr">
        <is>
          <t>Custo único por wave</t>
        </is>
      </c>
      <c r="B15" s="2" t="n"/>
      <c r="C15" s="2" t="n"/>
      <c r="D15" s="2" t="n"/>
      <c r="E15" s="2" t="n"/>
      <c r="F15" s="16">
        <f>SUM(F5:F13)</f>
        <v/>
      </c>
      <c r="G15" s="10" t="inlineStr">
        <is>
          <t>Valor estimado convertido para reais</t>
        </is>
      </c>
      <c r="H15" s="17">
        <f>F15*$H$2</f>
        <v/>
      </c>
    </row>
    <row r="16" ht="30" customHeight="1" s="30">
      <c r="A16" s="3" t="inlineStr">
        <is>
          <t>Custo único do projeto</t>
        </is>
      </c>
      <c r="B16" s="2" t="n"/>
      <c r="C16" s="2" t="n"/>
      <c r="D16" s="2" t="n"/>
      <c r="E16" s="2" t="n"/>
      <c r="F16" s="16">
        <f>F15*'Dados da transferência'!B9</f>
        <v/>
      </c>
      <c r="G16" s="40" t="n"/>
      <c r="H16" s="17">
        <f>F16*$H$2</f>
        <v/>
      </c>
      <c r="I16" s="20" t="n"/>
    </row>
    <row r="18" ht="37.2" customHeight="1" s="30">
      <c r="A18" s="3" t="inlineStr">
        <is>
          <t>Tempo estimado para transferir todos os dados</t>
        </is>
      </c>
      <c r="B18" s="41">
        <f>INT(ROUND('Dados da transferência'!B6*8000000/'Dados da transferência'!B15/3600,0)/(24*'Dados da transferência'!B16))&amp;" meses, "&amp;INT(MOD(ROUND('Dados da transferência'!B6*8000000/'Dados da transferência'!B15/3600,0),24*'Dados da transferência'!B16)/24)&amp;" dias e "&amp;MOD(ROUND('Dados da transferência'!B6*8000000/'Dados da transferência'!B15/3600,0),24)&amp;" horas"</f>
        <v/>
      </c>
      <c r="C18" s="42" t="n"/>
      <c r="D18" s="2" t="inlineStr">
        <is>
          <t>meses, dias e horas</t>
        </is>
      </c>
      <c r="E18" s="2" t="n"/>
      <c r="F18" s="43">
        <f>CONCATENATE("Baseado no volume total e na vazão efetiva configurada. 
Mês operacional = ",'Dados da transferência'!B16," dias. Não inclui restore, filas, pausas, retries ou validações.")</f>
        <v/>
      </c>
      <c r="G18" s="44" t="n"/>
      <c r="H18" s="42" t="n"/>
    </row>
  </sheetData>
  <mergeCells count="5">
    <mergeCell ref="A2:F2"/>
    <mergeCell ref="F18:H18"/>
    <mergeCell ref="G15:G16"/>
    <mergeCell ref="A1:H1"/>
    <mergeCell ref="B18:C18"/>
  </mergeCells>
  <conditionalFormatting sqref="H5:H13">
    <cfRule type="cellIs" priority="1" operator="equal" dxfId="1">
      <formula>FALSE</formula>
    </cfRule>
    <cfRule type="cellIs" priority="2" operator="equal" dxfId="0">
      <formula>TRUE</formula>
    </cfRule>
  </conditionalFormatting>
  <dataValidations count="1">
    <dataValidation sqref="H7:H11 H13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  <headerFooter>
    <oddHeader>&amp;L&amp;"Calibri"&amp;1 &amp;K000000 Confidential - Oracle Restricted \Employees Only#_x000d_</oddHeader>
    <oddFooter>&amp;L&amp;"Calibri"&amp;10 &amp;K000000_x000d_# Confidential - Oracle Restricted \Employees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2026-08-19T13:30:40Z</dcterms:created>
  <dcterms:modified xsi:type="dcterms:W3CDTF">2026-08-19T20:18:22Z</dcterms:modified>
  <cp:lastModifiedBy>Igor Nicoli</cp:lastModifiedBy>
</cp:coreProperties>
</file>