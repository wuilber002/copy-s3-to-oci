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fer data" sheetId="1" state="visible" r:id="rId1"/>
    <sheet name="Tariffs by region" sheetId="2" state="visible" r:id="rId2"/>
    <sheet name="Summary" sheetId="3" state="visible" r:id="rId3"/>
  </sheets>
  <definedNames>
    <definedName name="_xlnm._FilterDatabase" localSheetId="1" hidden="1">'Tariffs by region'!$A$4:$O$54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.00;[Red]-#,##0.00;—"/>
    <numFmt numFmtId="165" formatCode="#,##0.;[Red]-#,##0.;—"/>
    <numFmt numFmtId="166" formatCode="0.0%"/>
    <numFmt numFmtId="167" formatCode="US$ #,##0.00;[Red]-US$ #,##0.00;—"/>
    <numFmt numFmtId="168" formatCode="#,##0.0000;[Red]-#,##0.0000;—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7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166534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7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Transfer data</t>
        </is>
      </c>
    </row>
    <row r="2" ht="32" customHeight="1">
      <c r="A2" s="2" t="inlineStr">
        <is>
          <t>Edit only yellow cells. Use decimal units: 1 TB = 1,000 GB. Costs are calculated in the Summary sheet.</t>
        </is>
      </c>
    </row>
    <row r="4">
      <c r="A4" s="3" t="inlineStr">
        <is>
          <t>Information</t>
        </is>
      </c>
      <c r="B4" s="3" t="inlineStr">
        <is>
          <t>Value</t>
        </is>
      </c>
      <c r="C4" s="3" t="inlineStr">
        <is>
          <t>Description</t>
        </is>
      </c>
    </row>
    <row r="5" ht="29" customHeight="1">
      <c r="A5" s="4" t="inlineStr">
        <is>
          <t>AWS region</t>
        </is>
      </c>
      <c r="B5" s="5" t="inlineStr">
        <is>
          <t>sa-east-1</t>
        </is>
      </c>
      <c r="C5" s="4" t="inlineStr">
        <is>
          <t>Select a region listed in ‘Tariffs by region’.</t>
        </is>
      </c>
    </row>
    <row r="6" ht="29" customHeight="1">
      <c r="A6" s="4" t="inlineStr">
        <is>
          <t>Total data to transfer (TB)</t>
        </is>
      </c>
      <c r="B6" s="6" t="n">
        <v>600</v>
      </c>
      <c r="C6" s="4" t="inlineStr">
        <is>
          <t>Total source data, in decimal TB.</t>
        </is>
      </c>
    </row>
    <row r="7" ht="29" customHeight="1">
      <c r="A7" s="4" t="inlineStr">
        <is>
          <t>Total files</t>
        </is>
      </c>
      <c r="B7" s="7" t="n">
        <v>3600000</v>
      </c>
      <c r="C7" s="4" t="inlineStr">
        <is>
          <t>Number of objects discovered in S3.</t>
        </is>
      </c>
    </row>
    <row r="8" ht="29" customHeight="1">
      <c r="A8" s="4" t="inlineStr">
        <is>
          <t>Wave size (TB)</t>
        </is>
      </c>
      <c r="B8" s="6" t="n">
        <v>5</v>
      </c>
      <c r="C8" s="4" t="inlineStr">
        <is>
          <t>Maximum payload per wave.</t>
        </is>
      </c>
    </row>
    <row r="9" ht="29" customHeight="1">
      <c r="A9" s="4" t="inlineStr">
        <is>
          <t>Calculated waves</t>
        </is>
      </c>
      <c r="B9" s="8">
        <f>ROUNDUP(B6/B8,0)</f>
        <v/>
      </c>
      <c r="C9" s="4" t="inlineStr">
        <is>
          <t>Calculated automatically.</t>
        </is>
      </c>
    </row>
    <row r="10" ht="29" customHeight="1">
      <c r="A10" s="4" t="inlineStr">
        <is>
          <t>Deep Archive share</t>
        </is>
      </c>
      <c r="B10" s="9" t="n">
        <v>1</v>
      </c>
      <c r="C10" s="4" t="inlineStr">
        <is>
          <t>1 = all data is Deep Archive; 0.5 = half the data.</t>
        </is>
      </c>
    </row>
    <row r="11" ht="29" customHeight="1">
      <c r="A11" s="4" t="inlineStr">
        <is>
          <t>Restore tier</t>
        </is>
      </c>
      <c r="B11" s="5" t="inlineStr">
        <is>
          <t>BULK</t>
        </is>
      </c>
      <c r="C11" s="4" t="inlineStr">
        <is>
          <t>BULK or STANDARD.</t>
        </is>
      </c>
    </row>
    <row r="12" ht="29" customHeight="1">
      <c r="A12" s="4" t="inlineStr">
        <is>
          <t>Restore retention (days)</t>
        </is>
      </c>
      <c r="B12" s="7" t="n">
        <v>2</v>
      </c>
      <c r="C12" s="4" t="inlineStr">
        <is>
          <t>Temporary S3 Standard copy retention after restore is available.</t>
        </is>
      </c>
    </row>
    <row r="13" ht="29" customHeight="1">
      <c r="A13" s="4" t="inlineStr">
        <is>
          <t>Expected polling cycles per wave</t>
        </is>
      </c>
      <c r="B13" s="7" t="n">
        <v>24</v>
      </c>
      <c r="C13" s="4" t="inlineStr">
        <is>
          <t>Used for the conservative polling request estimate.</t>
        </is>
      </c>
    </row>
    <row r="14" ht="29" customHeight="1">
      <c r="A14" s="4" t="inlineStr">
        <is>
          <t>Include AWS outbound</t>
        </is>
      </c>
      <c r="B14" s="5" t="b">
        <v>1</v>
      </c>
      <c r="C14" s="4" t="inlineStr">
        <is>
          <t>Turn off only if outbound is intentionally excluded.</t>
        </is>
      </c>
    </row>
    <row r="15" ht="29" customHeight="1">
      <c r="A15" s="4" t="inlineStr">
        <is>
          <t>Outbound tariff</t>
        </is>
      </c>
      <c r="B15" s="5" t="inlineStr">
        <is>
          <t>FastConnect</t>
        </is>
      </c>
      <c r="C15" s="4" t="inlineStr">
        <is>
          <t>Public AWS or FastConnect/Direct Connect tariff from the regional table.</t>
        </is>
      </c>
    </row>
    <row r="16" ht="29" customHeight="1">
      <c r="A16" s="4" t="inlineStr">
        <is>
          <t>Include OCI storage</t>
        </is>
      </c>
      <c r="B16" s="5" t="b">
        <v>1</v>
      </c>
      <c r="C16" s="4" t="inlineStr">
        <is>
          <t>Includes OCI write requests, accrued storage and final recurring storage.</t>
        </is>
      </c>
    </row>
    <row r="17" ht="29" customHeight="1">
      <c r="A17" s="4" t="inlineStr">
        <is>
          <t>Estimated migration duration (days)</t>
        </is>
      </c>
      <c r="B17" s="7" t="n">
        <v>47</v>
      </c>
      <c r="C17" s="4" t="inlineStr">
        <is>
          <t>Used only to estimate OCI storage accumulated while data arrives.</t>
        </is>
      </c>
    </row>
    <row r="18" ht="29" customHeight="1">
      <c r="A18" s="4" t="inlineStr">
        <is>
          <t>OCI write operations per file</t>
        </is>
      </c>
      <c r="B18" s="6" t="n">
        <v>4</v>
      </c>
      <c r="C18" s="4" t="inlineStr">
        <is>
          <t>1 for small files; increase for multipart uploads.</t>
        </is>
      </c>
    </row>
    <row r="19" ht="29" customHeight="1">
      <c r="A19" s="4" t="inlineStr">
        <is>
          <t>Preserve S3 tags</t>
        </is>
      </c>
      <c r="B19" s="5" t="b">
        <v>1</v>
      </c>
      <c r="C19" s="4" t="inlineStr">
        <is>
          <t>Adds one S3 GET/TAG request per file.</t>
        </is>
      </c>
    </row>
    <row r="20" ht="29" customHeight="1">
      <c r="A20" s="4" t="inlineStr">
        <is>
          <t>Early Deep Archive delete data (TB)</t>
        </is>
      </c>
      <c r="B20" s="6" t="n">
        <v>0</v>
      </c>
      <c r="C20" s="4" t="inlineStr">
        <is>
          <t>Volume deleted after migration; leave zero when data stays in S3.</t>
        </is>
      </c>
    </row>
    <row r="21" ht="29" customHeight="1">
      <c r="A21" s="4" t="inlineStr">
        <is>
          <t>Average Deep Archive age (days)</t>
        </is>
      </c>
      <c r="B21" s="7" t="n">
        <v>180</v>
      </c>
      <c r="C21" s="4" t="inlineStr">
        <is>
          <t>AWS charges the remaining portion of the 180-day commitment.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3">
    <dataValidation sqref="B14 B16 B19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  <dataValidation sqref="B15" showDropDown="0" showInputMessage="0" showErrorMessage="0" allowBlank="0" type="list">
      <formula1>"Public AWS,FastConnect"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4" customWidth="1" min="4" max="4"/>
    <col width="20" customWidth="1" min="5" max="5"/>
    <col width="23" customWidth="1" min="6" max="6"/>
    <col width="27" customWidth="1" min="7" max="7"/>
    <col width="26" customWidth="1" min="8" max="8"/>
    <col width="17" customWidth="1" min="9" max="9"/>
    <col width="17" customWidth="1" min="10" max="10"/>
    <col width="15" customWidth="1" min="11" max="11"/>
    <col width="20" customWidth="1" min="12" max="12"/>
    <col width="22" customWidth="1" min="13" max="13"/>
    <col width="17" customWidth="1" min="14" max="14"/>
    <col width="46" customWidth="1" min="15" max="15"/>
  </cols>
  <sheetData>
    <row r="1" ht="32" customHeight="1">
      <c r="A1" s="1" t="inlineStr">
        <is>
          <t>Tariffs by region</t>
        </is>
      </c>
    </row>
    <row r="2" ht="32" customHeight="1">
      <c r="A2" s="2" t="inlineStr">
        <is>
          <t>Enter public or contractual values. The refresh script updates the AWS public columns for sa-east-1/us-east-1; circuit, Deep Archive storage and OCI values remain your inputs.</t>
        </is>
      </c>
    </row>
    <row r="4">
      <c r="A4" s="3" t="inlineStr">
        <is>
          <t>AWS region</t>
        </is>
      </c>
      <c r="B4" s="3" t="inlineStr">
        <is>
          <t>Currency</t>
        </is>
      </c>
      <c r="C4" s="3" t="inlineStr">
        <is>
          <t>AWS outbound
USD/GB</t>
        </is>
      </c>
      <c r="D4" s="3" t="inlineStr">
        <is>
          <t>FastConnect / Direct Connect
outbound USD/GB</t>
        </is>
      </c>
      <c r="E4" s="3" t="inlineStr">
        <is>
          <t>Deep Archive storage
USD/GB-month</t>
        </is>
      </c>
      <c r="F4" s="3" t="inlineStr">
        <is>
          <t>Deep Archive BULK retrieval
USD/GB</t>
        </is>
      </c>
      <c r="G4" s="3" t="inlineStr">
        <is>
          <t>Deep Archive STANDARD retrieval
USD/GB</t>
        </is>
      </c>
      <c r="H4" s="3" t="inlineStr">
        <is>
          <t>Temporary S3 Standard restore
USD/GB-month</t>
        </is>
      </c>
      <c r="I4" s="3" t="inlineStr">
        <is>
          <t>S3 PUT/LIST
USD/1,000</t>
        </is>
      </c>
      <c r="J4" s="3" t="inlineStr">
        <is>
          <t>S3 GET/TAG
USD/1,000</t>
        </is>
      </c>
      <c r="K4" s="3" t="inlineStr">
        <is>
          <t>Batch job
USD/job</t>
        </is>
      </c>
      <c r="L4" s="3" t="inlineStr">
        <is>
          <t>Batch object
USD/1,000</t>
        </is>
      </c>
      <c r="M4" s="3" t="inlineStr">
        <is>
          <t>OCI Standard storage
USD/GB-month</t>
        </is>
      </c>
      <c r="N4" s="3" t="inlineStr">
        <is>
          <t>OCI writes
USD/10,000</t>
        </is>
      </c>
      <c r="O4" s="3" t="inlineStr">
        <is>
          <t>Notes / source</t>
        </is>
      </c>
    </row>
    <row r="5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/>
      <c r="F5" s="10" t="n">
        <v>0.008</v>
      </c>
      <c r="G5" s="10" t="n">
        <v>0.028</v>
      </c>
      <c r="H5" s="10" t="n">
        <v>0.0405</v>
      </c>
      <c r="I5" s="10" t="n">
        <v>0.007</v>
      </c>
      <c r="J5" s="10" t="n">
        <v>0.00056</v>
      </c>
      <c r="K5" s="10" t="n">
        <v>0.25</v>
      </c>
      <c r="L5" s="10" t="n">
        <v>1.5e-05</v>
      </c>
      <c r="M5" s="10" t="n">
        <v>0.0255</v>
      </c>
      <c r="N5" s="10" t="n">
        <v>0.0034</v>
      </c>
      <c r="O5" s="5" t="inlineStr">
        <is>
          <t>AWS public values collected by Raijin on 2026-08-19; validate contracted rates before approval.</t>
        </is>
      </c>
    </row>
    <row r="6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/>
      <c r="F6" s="10" t="n">
        <v>0.0025</v>
      </c>
      <c r="G6" s="10" t="n">
        <v>0.02</v>
      </c>
      <c r="H6" s="10" t="n">
        <v>0.0125</v>
      </c>
      <c r="I6" s="10" t="n">
        <v>0.055</v>
      </c>
      <c r="J6" s="10" t="n">
        <v>0.0004</v>
      </c>
      <c r="K6" s="10" t="n">
        <v>0.25</v>
      </c>
      <c r="L6" s="10" t="n">
        <v>0.001</v>
      </c>
      <c r="M6" s="10" t="n">
        <v>0.0255</v>
      </c>
      <c r="N6" s="10" t="n">
        <v>0.0034</v>
      </c>
      <c r="O6" s="5" t="inlineStr">
        <is>
          <t>Example values; use the refresh script or contractual values.</t>
        </is>
      </c>
    </row>
    <row r="7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5" t="n"/>
    </row>
    <row r="8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5" t="n"/>
    </row>
    <row r="9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5" t="n"/>
    </row>
    <row r="10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5" t="n"/>
    </row>
    <row r="1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5" t="n"/>
    </row>
    <row r="12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5" t="n"/>
    </row>
    <row r="13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5" t="n"/>
    </row>
    <row r="14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5" t="n"/>
    </row>
    <row r="15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5" t="n"/>
    </row>
    <row r="16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5" t="n"/>
    </row>
    <row r="17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5" t="n"/>
    </row>
    <row r="18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5" t="n"/>
    </row>
    <row r="19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5" t="n"/>
    </row>
    <row r="20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5" t="n"/>
    </row>
    <row r="2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5" t="n"/>
    </row>
    <row r="22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5" t="n"/>
    </row>
    <row r="23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5" t="n"/>
    </row>
    <row r="24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5" t="n"/>
    </row>
    <row r="25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5" t="n"/>
    </row>
    <row r="26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5" t="n"/>
    </row>
    <row r="27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5" t="n"/>
    </row>
    <row r="28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5" t="n"/>
    </row>
    <row r="29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5" t="n"/>
    </row>
    <row r="30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5" t="n"/>
    </row>
    <row r="3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5" t="n"/>
    </row>
    <row r="32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5" t="n"/>
    </row>
    <row r="33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5" t="n"/>
    </row>
    <row r="34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5" t="n"/>
    </row>
    <row r="35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5" t="n"/>
    </row>
    <row r="36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5" t="n"/>
    </row>
    <row r="37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5" t="n"/>
    </row>
    <row r="38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5" t="n"/>
    </row>
    <row r="39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5" t="n"/>
    </row>
    <row r="40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5" t="n"/>
    </row>
    <row r="4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5" t="n"/>
    </row>
    <row r="42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5" t="n"/>
    </row>
    <row r="43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5" t="n"/>
    </row>
    <row r="44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5" t="n"/>
    </row>
    <row r="45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5" t="n"/>
    </row>
    <row r="46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5" t="n"/>
    </row>
    <row r="47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5" t="n"/>
    </row>
    <row r="48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5" t="n"/>
    </row>
    <row r="49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5" t="n"/>
    </row>
    <row r="50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5" t="n"/>
    </row>
    <row r="5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5" t="n"/>
    </row>
    <row r="52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5" t="n"/>
    </row>
    <row r="53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5" t="n"/>
    </row>
    <row r="54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5" t="n"/>
    </row>
  </sheetData>
  <autoFilter ref="A4:O54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54" customWidth="1" min="7" max="7"/>
  </cols>
  <sheetData>
    <row r="1" ht="32" customHeight="1">
      <c r="A1" s="1" t="inlineStr">
        <is>
          <t>Migration cost summary</t>
        </is>
      </c>
    </row>
    <row r="2" ht="32" customHeight="1">
      <c r="A2" s="2" t="inlineStr">
        <is>
          <t>The one-time project cost excludes the recurring OCI monthly storage cost, shown separately at the bottom.</t>
        </is>
      </c>
    </row>
    <row r="4">
      <c r="A4" s="3" t="inlineStr">
        <is>
          <t>Metric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 used</t>
        </is>
      </c>
      <c r="E4" s="3" t="inlineStr">
        <is>
          <t>Rate source</t>
        </is>
      </c>
      <c r="F4" s="3" t="inlineStr">
        <is>
          <t>Estimated cost</t>
        </is>
      </c>
      <c r="G4" s="3" t="inlineStr">
        <is>
          <t>Calculation / note</t>
        </is>
      </c>
    </row>
    <row r="5">
      <c r="A5" s="4" t="inlineStr">
        <is>
          <t>Deep Archive BULK retrieval</t>
        </is>
      </c>
      <c r="B5" s="11">
        <f>'Transfer data'!B8*1000*'Transfer data'!B10</f>
        <v/>
      </c>
      <c r="C5" s="4" t="inlineStr">
        <is>
          <t>GB / wave</t>
        </is>
      </c>
      <c r="D5" s="12">
        <f>VLOOKUP('Transfer data'!B5,'Tariffs by region'!A:O,6,FALSE)</f>
        <v/>
      </c>
      <c r="E5" s="4" t="inlineStr">
        <is>
          <t>AWS tariff</t>
        </is>
      </c>
      <c r="F5" s="12">
        <f>IF('Transfer data'!B11="BULK",IFERROR(B5*D5,"Not priced"),0)</f>
        <v/>
      </c>
      <c r="G5" s="4" t="inlineStr">
        <is>
          <t>Only the Deep Archive share.</t>
        </is>
      </c>
    </row>
    <row r="6">
      <c r="A6" s="4" t="inlineStr">
        <is>
          <t>Deep Archive STANDARD retrieval</t>
        </is>
      </c>
      <c r="B6" s="11">
        <f>'Transfer data'!B8*1000*'Transfer data'!B10</f>
        <v/>
      </c>
      <c r="C6" s="4" t="inlineStr">
        <is>
          <t>GB / wave</t>
        </is>
      </c>
      <c r="D6" s="12">
        <f>VLOOKUP('Transfer data'!B5,'Tariffs by region'!A:O,7,FALSE)</f>
        <v/>
      </c>
      <c r="E6" s="4" t="inlineStr">
        <is>
          <t>AWS tariff</t>
        </is>
      </c>
      <c r="F6" s="12">
        <f>IF('Transfer data'!B11="STANDARD",IFERROR(B6*D6,"Not priced"),0)</f>
        <v/>
      </c>
      <c r="G6" s="4" t="inlineStr">
        <is>
          <t>Only the Deep Archive share.</t>
        </is>
      </c>
    </row>
    <row r="7">
      <c r="A7" s="4" t="inlineStr">
        <is>
          <t>Temporary restored copy</t>
        </is>
      </c>
      <c r="B7" s="11">
        <f>'Transfer data'!B8*1000*'Transfer data'!B10*'Transfer data'!B12/30</f>
        <v/>
      </c>
      <c r="C7" s="4" t="inlineStr">
        <is>
          <t>GB-month / wave</t>
        </is>
      </c>
      <c r="D7" s="12">
        <f>VLOOKUP('Transfer data'!B5,'Tariffs by region'!A:O,8,FALSE)</f>
        <v/>
      </c>
      <c r="E7" s="4" t="inlineStr">
        <is>
          <t>AWS tariff</t>
        </is>
      </c>
      <c r="F7" s="12">
        <f>IFERROR(B7*D7,"Not priced")</f>
        <v/>
      </c>
      <c r="G7" s="4" t="inlineStr">
        <is>
          <t>Temporary S3 Standard copy after restore.</t>
        </is>
      </c>
    </row>
    <row r="8">
      <c r="A8" s="4" t="inlineStr">
        <is>
          <t>S3 Batch Operations</t>
        </is>
      </c>
      <c r="B8" s="11">
        <f>1</f>
        <v/>
      </c>
      <c r="C8" s="4" t="inlineStr">
        <is>
          <t>job / wave</t>
        </is>
      </c>
      <c r="D8" s="12">
        <f>VLOOKUP('Transfer data'!B5,'Tariffs by region'!A:O,11,FALSE)</f>
        <v/>
      </c>
      <c r="E8" s="4" t="inlineStr">
        <is>
          <t>AWS tariff</t>
        </is>
      </c>
      <c r="F8" s="12">
        <f>IFERROR(B8*D8,"Not priced")</f>
        <v/>
      </c>
      <c r="G8" s="4" t="inlineStr">
        <is>
          <t>One restore job per archive wave.</t>
        </is>
      </c>
    </row>
    <row r="9">
      <c r="A9" s="4" t="inlineStr">
        <is>
          <t>S3 Batch object tasks</t>
        </is>
      </c>
      <c r="B9" s="11">
        <f>ROUNDUP('Transfer data'!B7/'Transfer data'!B9,0)</f>
        <v/>
      </c>
      <c r="C9" s="4" t="inlineStr">
        <is>
          <t>objects / wave</t>
        </is>
      </c>
      <c r="D9" s="12">
        <f>VLOOKUP('Transfer data'!B5,'Tariffs by region'!A:O,12,FALSE)/1000</f>
        <v/>
      </c>
      <c r="E9" s="4" t="inlineStr">
        <is>
          <t>AWS tariff</t>
        </is>
      </c>
      <c r="F9" s="12">
        <f>IFERROR(B9*D9,"Not priced")</f>
        <v/>
      </c>
      <c r="G9" s="4" t="inlineStr">
        <is>
          <t>Object-task rate normalized to one object.</t>
        </is>
      </c>
    </row>
    <row r="10">
      <c r="A10" s="4" t="inlineStr">
        <is>
          <t>Discovery + restore polling</t>
        </is>
      </c>
      <c r="B10" s="11">
        <f>(ROUNDUP('Transfer data'!B7/1000,0)*'Transfer data'!B13)+ROUNDUP('Transfer data'!B7/'Transfer data'!B9/1000,0)</f>
        <v/>
      </c>
      <c r="C10" s="4" t="inlineStr">
        <is>
          <t>requests / wave</t>
        </is>
      </c>
      <c r="D10" s="12">
        <f>VLOOKUP('Transfer data'!B5,'Tariffs by region'!A:O,9,FALSE)/1000</f>
        <v/>
      </c>
      <c r="E10" s="4" t="inlineStr">
        <is>
          <t>AWS tariff</t>
        </is>
      </c>
      <c r="F10" s="12">
        <f>IFERROR(B10*D10,"Not priced")</f>
        <v/>
      </c>
      <c r="G10" s="4" t="inlineStr">
        <is>
          <t>Conservative ListObjectsV2 estimate.</t>
        </is>
      </c>
    </row>
    <row r="11">
      <c r="A11" s="4" t="inlineStr">
        <is>
          <t>S3 object reads</t>
        </is>
      </c>
      <c r="B11" s="11">
        <f>ROUNDUP('Transfer data'!B7/'Transfer data'!B9,0)</f>
        <v/>
      </c>
      <c r="C11" s="4" t="inlineStr">
        <is>
          <t>requests / wave</t>
        </is>
      </c>
      <c r="D11" s="12">
        <f>VLOOKUP('Transfer data'!B5,'Tariffs by region'!A:O,10,FALSE)/1000</f>
        <v/>
      </c>
      <c r="E11" s="4" t="inlineStr">
        <is>
          <t>AWS tariff</t>
        </is>
      </c>
      <c r="F11" s="12">
        <f>IFERROR(B11*D11,"Not priced")</f>
        <v/>
      </c>
      <c r="G11" s="4" t="inlineStr">
        <is>
          <t>One streaming GetObject per object.</t>
        </is>
      </c>
    </row>
    <row r="12">
      <c r="A12" s="4" t="inlineStr">
        <is>
          <t>S3 tag reads</t>
        </is>
      </c>
      <c r="B12" s="11">
        <f>ROUNDUP('Transfer data'!B7/'Transfer data'!B9,0)</f>
        <v/>
      </c>
      <c r="C12" s="4" t="inlineStr">
        <is>
          <t>requests / wave</t>
        </is>
      </c>
      <c r="D12" s="12">
        <f>VLOOKUP('Transfer data'!B5,'Tariffs by region'!A:O,10,FALSE)/1000</f>
        <v/>
      </c>
      <c r="E12" s="4" t="inlineStr">
        <is>
          <t>AWS tariff</t>
        </is>
      </c>
      <c r="F12" s="12">
        <f>IF('Transfer data'!B19,IFERROR(B12*D12,"Not priced"),0)</f>
        <v/>
      </c>
      <c r="G12" s="4" t="inlineStr">
        <is>
          <t>Only when tag preservation is enabled.</t>
        </is>
      </c>
    </row>
    <row r="13">
      <c r="A13" s="4" t="inlineStr">
        <is>
          <t>AWS outbound to OCI</t>
        </is>
      </c>
      <c r="B13" s="11">
        <f>'Transfer data'!B8*1000</f>
        <v/>
      </c>
      <c r="C13" s="4" t="inlineStr">
        <is>
          <t>GB / wave</t>
        </is>
      </c>
      <c r="D13" s="12">
        <f>IF('Transfer data'!B15="FastConnect",IFERROR(IF(VLOOKUP('Transfer data'!B5,'Tariffs by region'!A:O,4,FALSE)&gt;0,VLOOKUP('Transfer data'!B5,'Tariffs by region'!A:O,4,FALSE),VLOOKUP('Transfer data'!B5,'Tariffs by region'!A:O,3,FALSE)),VLOOKUP('Transfer data'!B5,'Tariffs by region'!A:O,3,FALSE)),VLOOKUP('Transfer data'!B5,'Tariffs by region'!A:O,3,FALSE))</f>
        <v/>
      </c>
      <c r="E13" s="4" t="inlineStr">
        <is>
          <t>Selected outbound tariff</t>
        </is>
      </c>
      <c r="F13" s="12">
        <f>IF('Transfer data'!B14,IFERROR(B13*D13,"Not priced"),0)</f>
        <v/>
      </c>
      <c r="G13" s="4" t="inlineStr">
        <is>
          <t>FastConnect falls back to public AWS when its rate is blank.</t>
        </is>
      </c>
    </row>
    <row r="14">
      <c r="A14" s="4" t="inlineStr">
        <is>
          <t>Early Deep Archive deletion</t>
        </is>
      </c>
      <c r="B14" s="11">
        <f>'Transfer data'!B20*1000*MAX(0,180-'Transfer data'!B21)/30</f>
        <v/>
      </c>
      <c r="C14" s="4" t="inlineStr">
        <is>
          <t>GB-month / project</t>
        </is>
      </c>
      <c r="D14" s="12">
        <f>VLOOKUP('Transfer data'!B5,'Tariffs by region'!A:O,5,FALSE)</f>
        <v/>
      </c>
      <c r="E14" s="4" t="inlineStr">
        <is>
          <t>AWS tariff</t>
        </is>
      </c>
      <c r="F14" s="12">
        <f>IF('Transfer data'!B20&gt;0,IFERROR(B14*D14,"Not priced"),0)</f>
        <v/>
      </c>
      <c r="G14" s="4" t="inlineStr">
        <is>
          <t>Whole-project early-delete estimate.</t>
        </is>
      </c>
    </row>
    <row r="15">
      <c r="A15" s="4" t="inlineStr">
        <is>
          <t>OCI write requests</t>
        </is>
      </c>
      <c r="B15" s="11">
        <f>ROUNDUP('Transfer data'!B7/'Transfer data'!B9,0)*'Transfer data'!B18</f>
        <v/>
      </c>
      <c r="C15" s="4" t="inlineStr">
        <is>
          <t>operations / wave</t>
        </is>
      </c>
      <c r="D15" s="12">
        <f>VLOOKUP('Transfer data'!B5,'Tariffs by region'!A:O,14,FALSE)/10000</f>
        <v/>
      </c>
      <c r="E15" s="4" t="inlineStr">
        <is>
          <t>OCI tariff</t>
        </is>
      </c>
      <c r="F15" s="12">
        <f>IF('Transfer data'!B16,IFERROR(B15*D15,"Not priced"),0)</f>
        <v/>
      </c>
      <c r="G15" s="4" t="inlineStr">
        <is>
          <t>Set operations/file to 1 for small files; increase for multipart.</t>
        </is>
      </c>
    </row>
    <row r="16">
      <c r="A16" s="4" t="inlineStr">
        <is>
          <t>OCI storage during migration</t>
        </is>
      </c>
      <c r="B16" s="11">
        <f>'Transfer data'!B6*1000*'Transfer data'!B17/2/30</f>
        <v/>
      </c>
      <c r="C16" s="4" t="inlineStr">
        <is>
          <t>GB-month / project</t>
        </is>
      </c>
      <c r="D16" s="12">
        <f>VLOOKUP('Transfer data'!B5,'Tariffs by region'!A:O,13,FALSE)</f>
        <v/>
      </c>
      <c r="E16" s="4" t="inlineStr">
        <is>
          <t>OCI tariff</t>
        </is>
      </c>
      <c r="F16" s="12">
        <f>IF('Transfer data'!B16,IFERROR(B16*D16,"Not priced"),0)</f>
        <v/>
      </c>
      <c r="G16" s="4" t="inlineStr">
        <is>
          <t>Linear-arrival approximation over migration duration.</t>
        </is>
      </c>
    </row>
    <row r="17">
      <c r="A17" s="4" t="inlineStr">
        <is>
          <t>OCI final storage</t>
        </is>
      </c>
      <c r="B17" s="11">
        <f>'Transfer data'!B6*1000</f>
        <v/>
      </c>
      <c r="C17" s="4" t="inlineStr">
        <is>
          <t>GB-month / project</t>
        </is>
      </c>
      <c r="D17" s="12">
        <f>VLOOKUP('Transfer data'!B5,'Tariffs by region'!A:O,13,FALSE)</f>
        <v/>
      </c>
      <c r="E17" s="4" t="inlineStr">
        <is>
          <t>OCI tariff</t>
        </is>
      </c>
      <c r="F17" s="12">
        <f>IF('Transfer data'!B16,IFERROR(B17*D17,"Not priced"),0)</f>
        <v/>
      </c>
      <c r="G17" s="4" t="inlineStr">
        <is>
          <t>Recurring monthly destination cost; excluded from one-time total.</t>
        </is>
      </c>
    </row>
    <row r="20">
      <c r="A20" s="13" t="inlineStr">
        <is>
          <t>One-time cost / wave</t>
        </is>
      </c>
      <c r="B20" s="4" t="n"/>
      <c r="C20" s="4" t="n"/>
      <c r="D20" s="4" t="n"/>
      <c r="E20" s="4" t="n"/>
      <c r="F20" s="14">
        <f>SUM(F5:F13)+F15</f>
        <v/>
      </c>
    </row>
    <row r="21">
      <c r="A21" s="13" t="inlineStr">
        <is>
          <t>One-time cost / project</t>
        </is>
      </c>
      <c r="B21" s="4" t="n"/>
      <c r="C21" s="4" t="n"/>
      <c r="D21" s="4" t="n"/>
      <c r="E21" s="4" t="n"/>
      <c r="F21" s="14">
        <f>F20*'Transfer data'!B9+F14+F16</f>
        <v/>
      </c>
    </row>
    <row r="22">
      <c r="A22" s="13" t="inlineStr">
        <is>
          <t>OCI recurring final cost / month</t>
        </is>
      </c>
      <c r="B22" s="4" t="n"/>
      <c r="C22" s="4" t="n"/>
      <c r="D22" s="4" t="n"/>
      <c r="E22" s="4" t="n"/>
      <c r="F22" s="14">
        <f>F17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2026-08-19T11:32:45Z</dcterms:created>
  <dcterms:modified xsi:type="dcterms:W3CDTF">2026-08-19T11:32:46Z</dcterms:modified>
</cp:coreProperties>
</file>