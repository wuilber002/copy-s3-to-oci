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wsl.localhost\Ubuntu\home\inicoli\TRAMPO\OCI\object_storage\raijin-data-migration_s3-to-oci\docs\"/>
    </mc:Choice>
  </mc:AlternateContent>
  <xr:revisionPtr revIDLastSave="0" documentId="13_ncr:1_{EB96B50A-7314-4B17-A58B-1D334855D767}" xr6:coauthVersionLast="47" xr6:coauthVersionMax="47" xr10:uidLastSave="{00000000-0000-0000-0000-000000000000}"/>
  <bookViews>
    <workbookView xWindow="-120" yWindow="-16320" windowWidth="29040" windowHeight="16440" activeTab="2" xr2:uid="{00000000-000D-0000-FFFF-FFFF00000000}"/>
  </bookViews>
  <sheets>
    <sheet name="Dados da transferência" sheetId="1" r:id="rId1"/>
    <sheet name="Tarifas por região" sheetId="2" r:id="rId2"/>
    <sheet name="Resumo" sheetId="3" r:id="rId3"/>
  </sheets>
  <definedNames>
    <definedName name="_xlnm._FilterDatabase" localSheetId="1" hidden="1">'Tarifas por região'!$A$4:$L$54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  <c r="D9" i="3"/>
  <c r="B18" i="3"/>
  <c r="D13" i="3"/>
  <c r="B13" i="3"/>
  <c r="D12" i="3"/>
  <c r="D11" i="3"/>
  <c r="D10" i="3"/>
  <c r="D8" i="3"/>
  <c r="B8" i="3"/>
  <c r="D7" i="3"/>
  <c r="B7" i="3"/>
  <c r="F6" i="3"/>
  <c r="D6" i="3"/>
  <c r="B6" i="3"/>
  <c r="D5" i="3"/>
  <c r="B5" i="3"/>
  <c r="B9" i="1"/>
  <c r="B10" i="3" s="1"/>
  <c r="F13" i="3" l="1"/>
  <c r="F7" i="3"/>
  <c r="F8" i="3"/>
  <c r="F10" i="3"/>
  <c r="F5" i="3"/>
  <c r="B11" i="3"/>
  <c r="F11" i="3" s="1"/>
  <c r="B9" i="3"/>
  <c r="F9" i="3" s="1"/>
  <c r="B12" i="3"/>
  <c r="F12" i="3" s="1"/>
  <c r="F15" i="3" l="1"/>
  <c r="H15" i="3" l="1"/>
  <c r="F16" i="3"/>
  <c r="H16" i="3" s="1"/>
</calcChain>
</file>

<file path=xl/sharedStrings.xml><?xml version="1.0" encoding="utf-8"?>
<sst xmlns="http://schemas.openxmlformats.org/spreadsheetml/2006/main" count="106" uniqueCount="88">
  <si>
    <t>RAIJIN — Dados da transferência</t>
  </si>
  <si>
    <t>Preencha somente as células amarelas. Use unidades decimais: 1 TB = 1.000 GB. Os custos são calculados automaticamente na aba Resumo.</t>
  </si>
  <si>
    <t>Informação</t>
  </si>
  <si>
    <t>Valor</t>
  </si>
  <si>
    <t>O que informar e impacto no cálculo</t>
  </si>
  <si>
    <t>Região AWS</t>
  </si>
  <si>
    <t>sa-east-1</t>
  </si>
  <si>
    <t>Informe o código da região do bucket de origem, por exemplo sa-east-1 ou us-east-1. Deve existir uma linha correspondente na aba Tarifas por região.</t>
  </si>
  <si>
    <t>Dados totais a transferir (TB)</t>
  </si>
  <si>
    <t>Informe todo o volume da origem em TB decimais. Exemplo: 600 significa 600.000 GB. É usado no custo total e na quantidade de waves.</t>
  </si>
  <si>
    <t>Quantidade total de arquivos</t>
  </si>
  <si>
    <t>Informe a quantidade de objetos do discovery S3. Ela determina as estimativas de requests, Batch Operations e polling.</t>
  </si>
  <si>
    <t>Tamanho máximo da wave (TB)</t>
  </si>
  <si>
    <t>Informe o limite de dados por wave. A planilha arredonda a quantidade de waves para cima; a última pode ser menor.</t>
  </si>
  <si>
    <t>Quantidade calculada de waves</t>
  </si>
  <si>
    <t>Campo calculado automaticamente a partir dos dados totais e do tamanho máximo da wave. Não editar.</t>
  </si>
  <si>
    <t>Percentual em Deep Archive</t>
  </si>
  <si>
    <t>Informe uma fração entre 0 e 1. Use 1 para 100% dos dados em DEEP_ARCHIVE, 0,5 para 50%. Apenas essa parcela recebe custos de restore.</t>
  </si>
  <si>
    <t>Tier de restore</t>
  </si>
  <si>
    <t>BULK</t>
  </si>
  <si>
    <t>Selecione BULK para menor custo e maior prazo, ou STANDARD para maior velocidade e custo. Aplica-se à parcela Deep Archive.</t>
  </si>
  <si>
    <t>Retenção do restore (horas)</t>
  </si>
  <si>
    <t>Informe por quantas horas a cópia temporária S3 Standard ficará disponível após o restore terminar. Para Deep Archive BULK, 48 horas é a opção mais segura.</t>
  </si>
  <si>
    <t>Ciclos esperados de polling por wave</t>
  </si>
  <si>
    <t>Informe quantas verificações de disponibilidade a plataforma deve fazer, em média, até o restore ficar pronto. É uma estimativa conservadora de requests.</t>
  </si>
  <si>
    <t>Preservar tags S3</t>
  </si>
  <si>
    <t>Use TRUE quando as tags S3 devem ser copiadas. Isso adiciona uma leitura GET/TAG por arquivo. Use FALSE quando tags não são necessárias.</t>
  </si>
  <si>
    <t>Vazão efetiva estimada (Mbps)</t>
  </si>
  <si>
    <t>Informe a vazão média efetiva esperada para a cópia, em Mbps. Use uma taxa sustentável medida ou conservadora — não necessariamente a capacidade nominal do link. É usada somente na estimativa de tempo.</t>
  </si>
  <si>
    <t>Tarifas por região</t>
  </si>
  <si>
    <t>Use somente preços públicos AWS. O script de atualização preenche as colunas públicas suportadas para sa-east-1 e us-east-1.</t>
  </si>
  <si>
    <t>Moeda</t>
  </si>
  <si>
    <t>Outbound AWS Internet
US$/GB</t>
  </si>
  <si>
    <t>Armazenamento Deep Archive
US$/GB-mês</t>
  </si>
  <si>
    <t>Recuperação Deep Archive BULK
US$/GB</t>
  </si>
  <si>
    <t>Recuperação Deep Archive STANDARD
US$/GB</t>
  </si>
  <si>
    <t>Cópia temporária S3 Standard
US$/GB-mês</t>
  </si>
  <si>
    <t>S3 PUT/LIST
US$/1.000</t>
  </si>
  <si>
    <t>S3 GET/TAG
US$/1.000</t>
  </si>
  <si>
    <t>Job Batch
US$/job</t>
  </si>
  <si>
    <t>Fonte pública / observações</t>
  </si>
  <si>
    <t>USD</t>
  </si>
  <si>
    <t>Valores públicos AWS coletados pelo Raijin em 19/08/2026. Atualize antes de aprovar gastos.</t>
  </si>
  <si>
    <t>us-east-1</t>
  </si>
  <si>
    <t>Valores públicos de exemplo. Atualize antes de usar.</t>
  </si>
  <si>
    <t>Resumo de custo da migração AWS</t>
  </si>
  <si>
    <t>Todos os valores são estimativas com preços públicos AWS. Altere a chave ao lado de outbound para FALSE para excluí-lo dos totais.</t>
  </si>
  <si>
    <t>Métrica</t>
  </si>
  <si>
    <t>Quantidade</t>
  </si>
  <si>
    <t>Unidade</t>
  </si>
  <si>
    <t>Tarifa usada</t>
  </si>
  <si>
    <t>Fonte da tarifa</t>
  </si>
  <si>
    <t>Custo estimado</t>
  </si>
  <si>
    <t>Cálculo / observação</t>
  </si>
  <si>
    <t>Recuperação Deep Archive BULK</t>
  </si>
  <si>
    <t>GB / onda</t>
  </si>
  <si>
    <t>AWS pública</t>
  </si>
  <si>
    <t>Somente a parcela em Deep Archive.</t>
  </si>
  <si>
    <t>—</t>
  </si>
  <si>
    <t>Recuperação Deep Archive STANDARD</t>
  </si>
  <si>
    <t>Cópia temporária restaurada</t>
  </si>
  <si>
    <t>GB-mês / onda</t>
  </si>
  <si>
    <t>Cópia S3 Standard temporária após o restore; a retenção em horas é convertida para mês.</t>
  </si>
  <si>
    <t>S3 Batch Operations</t>
  </si>
  <si>
    <t>job / onda</t>
  </si>
  <si>
    <t>Um job de restore por onda arquivada.</t>
  </si>
  <si>
    <t>Tarefas de objeto S3 Batch</t>
  </si>
  <si>
    <t>objetos / onda</t>
  </si>
  <si>
    <t>Tarifa de objeto normalizada para uma unidade.</t>
  </si>
  <si>
    <t>Discovery e polling de restore</t>
  </si>
  <si>
    <t>solicitações / onda</t>
  </si>
  <si>
    <t>Estimativa conservadora baseada em ListObjectsV2.</t>
  </si>
  <si>
    <t>Leituras de objetos S3</t>
  </si>
  <si>
    <t>Um GetObject em streaming por arquivo.</t>
  </si>
  <si>
    <t>Leituras de tags S3</t>
  </si>
  <si>
    <t>Somente se a preservação de tags estiver habilitada.</t>
  </si>
  <si>
    <t>Outbound AWS</t>
  </si>
  <si>
    <t>Use a chave para incluir ou excluir outbound.</t>
  </si>
  <si>
    <t>Custo único por wave</t>
  </si>
  <si>
    <t>Custo único do projeto</t>
  </si>
  <si>
    <t>Tempo estimado para transferir todos os dados</t>
  </si>
  <si>
    <t>meses, dias e horas</t>
  </si>
  <si>
    <t>Incluir custo?</t>
  </si>
  <si>
    <t>Dias uteis no mes para execusao da copia</t>
  </si>
  <si>
    <t>A quantidade de dias que serão usados efetivamente para executar a copia dos dados. Usado para o calculo de tempo total gasto na transferencia.</t>
  </si>
  <si>
    <t>Cotacao do dolar</t>
  </si>
  <si>
    <t>Valor estimado convertido para reais</t>
  </si>
  <si>
    <t>Objeto Batch
US$/objeto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</si>
</sst>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#,##0;[Red]\-#,##0;0"/>
    <numFmt numFmtId="165" formatCode="\$\ #,##0.000000;[Red]\-\$\ #,##0.000000;\$\ 0.000000"/>
    <numFmt numFmtId="166" formatCode="\$\ #,##0.00;[Red]\-\$\ #,##0.00;\$\ 0.00"/>
    <numFmt numFmtId="167" formatCode="_-[$R$-416]\ * #,##0.00_-;\-[$R$-416]\ * #,##0.00_-;_-[$R$-416]\ * &quot;-&quot;??_-;_-@_-"/>
  </numFmts>
  <fonts count="10" x14ac:knownFonts="1">
    <font>
      <sz val="11"/>
      <color theme="1"/>
      <name val="Calibri"/>
      <family val="2"/>
      <scheme val="minor"/>
    </font>
    <font>
      <b/>
      <sz val="18"/>
      <color rgb="FFF8FAFC"/>
      <name val="Calibri"/>
    </font>
    <font>
      <i/>
      <sz val="10"/>
      <color rgb="FFC5D2E8"/>
      <name val="Calibri"/>
    </font>
    <font>
      <b/>
      <sz val="11"/>
      <color rgb="FFF8FAFC"/>
      <name val="Calibri"/>
    </font>
    <font>
      <sz val="11"/>
      <color rgb="FFF8FAFC"/>
      <name val="Calibri"/>
    </font>
    <font>
      <sz val="11"/>
      <color rgb="FF111827"/>
      <name val="Calibri"/>
    </font>
    <font>
      <b/>
      <sz val="14"/>
      <color rgb="FFF8FAFC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8FAFC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01A2D"/>
      </patternFill>
    </fill>
    <fill>
      <patternFill patternType="solid">
        <fgColor rgb="FF19263E"/>
      </patternFill>
    </fill>
    <fill>
      <patternFill patternType="solid">
        <fgColor rgb="FF3B82F6"/>
      </patternFill>
    </fill>
    <fill>
      <patternFill patternType="solid">
        <fgColor rgb="FFFFF2CC"/>
      </patternFill>
    </fill>
    <fill>
      <patternFill patternType="solid">
        <fgColor rgb="FF0F5132"/>
      </patternFill>
    </fill>
    <fill>
      <patternFill patternType="solid">
        <fgColor rgb="FF166534"/>
      </patternFill>
    </fill>
  </fills>
  <borders count="8">
    <border>
      <left/>
      <right/>
      <top/>
      <bottom/>
      <diagonal/>
    </border>
    <border>
      <left style="thin">
        <color rgb="FF4B5E7A"/>
      </left>
      <right style="thin">
        <color rgb="FF4B5E7A"/>
      </right>
      <top style="thin">
        <color rgb="FF4B5E7A"/>
      </top>
      <bottom style="thin">
        <color rgb="FF4B5E7A"/>
      </bottom>
      <diagonal/>
    </border>
    <border>
      <left style="thin">
        <color rgb="FF4B5E7A"/>
      </left>
      <right/>
      <top style="thin">
        <color rgb="FF4B5E7A"/>
      </top>
      <bottom style="thin">
        <color rgb="FF4B5E7A"/>
      </bottom>
      <diagonal/>
    </border>
    <border>
      <left/>
      <right style="thin">
        <color rgb="FF4B5E7A"/>
      </right>
      <top style="thin">
        <color rgb="FF4B5E7A"/>
      </top>
      <bottom style="thin">
        <color rgb="FF4B5E7A"/>
      </bottom>
      <diagonal/>
    </border>
    <border>
      <left/>
      <right/>
      <top style="thin">
        <color rgb="FF4B5E7A"/>
      </top>
      <bottom style="thin">
        <color rgb="FF4B5E7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B5E7A"/>
      </left>
      <right style="thin">
        <color rgb="FF4B5E7A"/>
      </right>
      <top style="thin">
        <color rgb="FF4B5E7A"/>
      </top>
      <bottom/>
      <diagonal/>
    </border>
    <border>
      <left style="thin">
        <color rgb="FF4B5E7A"/>
      </left>
      <right style="thin">
        <color rgb="FF4B5E7A"/>
      </right>
      <top/>
      <bottom style="thin">
        <color rgb="FF4B5E7A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9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 wrapText="1"/>
    </xf>
    <xf numFmtId="164" fontId="5" fillId="5" borderId="6" xfId="0" applyNumberFormat="1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right" vertical="center" wrapText="1"/>
    </xf>
    <xf numFmtId="44" fontId="4" fillId="3" borderId="0" xfId="1" applyFont="1" applyFill="1" applyBorder="1" applyAlignment="1">
      <alignment vertical="center" wrapText="1"/>
    </xf>
    <xf numFmtId="167" fontId="0" fillId="0" borderId="0" xfId="0" applyNumberFormat="1"/>
    <xf numFmtId="165" fontId="5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2">
    <dxf>
      <font>
        <b/>
        <i val="0"/>
        <color theme="0"/>
      </font>
      <fill>
        <patternFill>
          <fgColor theme="0"/>
          <bgColor rgb="FF00B05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workbookViewId="0">
      <pane ySplit="4" topLeftCell="A5" activePane="bottomLeft" state="frozen"/>
      <selection pane="bottomLeft" activeCell="B6" sqref="B6"/>
    </sheetView>
  </sheetViews>
  <sheetFormatPr defaultRowHeight="14.4" x14ac:dyDescent="0.3"/>
  <cols>
    <col min="1" max="1" width="46.5546875" bestFit="1" customWidth="1"/>
    <col min="2" max="2" width="15.6640625" customWidth="1"/>
    <col min="3" max="3" width="98.44140625" bestFit="1" customWidth="1"/>
  </cols>
  <sheetData>
    <row r="1" spans="1:3" ht="31.95" customHeight="1" x14ac:dyDescent="0.3">
      <c r="A1" s="25" t="s">
        <v>0</v>
      </c>
      <c r="B1" s="25"/>
      <c r="C1" s="25"/>
    </row>
    <row r="2" spans="1:3" ht="31.95" customHeight="1" x14ac:dyDescent="0.3">
      <c r="A2" s="26" t="s">
        <v>1</v>
      </c>
      <c r="B2" s="26"/>
      <c r="C2" s="26"/>
    </row>
    <row r="4" spans="1:3" x14ac:dyDescent="0.3">
      <c r="A4" s="1" t="s">
        <v>2</v>
      </c>
      <c r="B4" s="9" t="s">
        <v>3</v>
      </c>
      <c r="C4" s="1" t="s">
        <v>4</v>
      </c>
    </row>
    <row r="5" spans="1:3" ht="34.799999999999997" customHeight="1" x14ac:dyDescent="0.3">
      <c r="A5" s="2" t="s">
        <v>5</v>
      </c>
      <c r="B5" s="4" t="s">
        <v>6</v>
      </c>
      <c r="C5" s="2" t="s">
        <v>7</v>
      </c>
    </row>
    <row r="6" spans="1:3" ht="34.799999999999997" customHeight="1" x14ac:dyDescent="0.3">
      <c r="A6" s="2" t="s">
        <v>8</v>
      </c>
      <c r="B6" s="5">
        <v>1500</v>
      </c>
      <c r="C6" s="2" t="s">
        <v>9</v>
      </c>
    </row>
    <row r="7" spans="1:3" ht="34.799999999999997" customHeight="1" x14ac:dyDescent="0.3">
      <c r="A7" s="2" t="s">
        <v>10</v>
      </c>
      <c r="B7" s="5">
        <v>9600000</v>
      </c>
      <c r="C7" s="2" t="s">
        <v>11</v>
      </c>
    </row>
    <row r="8" spans="1:3" ht="34.799999999999997" customHeight="1" x14ac:dyDescent="0.3">
      <c r="A8" s="2" t="s">
        <v>12</v>
      </c>
      <c r="B8" s="5">
        <v>10</v>
      </c>
      <c r="C8" s="2" t="s">
        <v>13</v>
      </c>
    </row>
    <row r="9" spans="1:3" ht="34.799999999999997" customHeight="1" x14ac:dyDescent="0.3">
      <c r="A9" s="2" t="s">
        <v>14</v>
      </c>
      <c r="B9" s="6">
        <f>ROUNDUP(B6/B8,0)</f>
        <v>150</v>
      </c>
      <c r="C9" s="2" t="s">
        <v>15</v>
      </c>
    </row>
    <row r="10" spans="1:3" ht="34.799999999999997" customHeight="1" x14ac:dyDescent="0.3">
      <c r="A10" s="2" t="s">
        <v>16</v>
      </c>
      <c r="B10" s="7">
        <v>1</v>
      </c>
      <c r="C10" s="2" t="s">
        <v>17</v>
      </c>
    </row>
    <row r="11" spans="1:3" ht="34.799999999999997" customHeight="1" x14ac:dyDescent="0.3">
      <c r="A11" s="2" t="s">
        <v>18</v>
      </c>
      <c r="B11" s="4" t="s">
        <v>19</v>
      </c>
      <c r="C11" s="2" t="s">
        <v>20</v>
      </c>
    </row>
    <row r="12" spans="1:3" ht="34.799999999999997" customHeight="1" x14ac:dyDescent="0.3">
      <c r="A12" s="2" t="s">
        <v>21</v>
      </c>
      <c r="B12" s="5">
        <v>24</v>
      </c>
      <c r="C12" s="2" t="s">
        <v>22</v>
      </c>
    </row>
    <row r="13" spans="1:3" ht="34.799999999999997" customHeight="1" x14ac:dyDescent="0.3">
      <c r="A13" s="2" t="s">
        <v>23</v>
      </c>
      <c r="B13" s="5">
        <v>48</v>
      </c>
      <c r="C13" s="2" t="s">
        <v>24</v>
      </c>
    </row>
    <row r="14" spans="1:3" ht="34.799999999999997" customHeight="1" x14ac:dyDescent="0.3">
      <c r="A14" s="2" t="s">
        <v>25</v>
      </c>
      <c r="B14" s="4" t="b">
        <v>1</v>
      </c>
      <c r="C14" s="2" t="s">
        <v>26</v>
      </c>
    </row>
    <row r="15" spans="1:3" ht="34.799999999999997" customHeight="1" x14ac:dyDescent="0.3">
      <c r="A15" s="2" t="s">
        <v>27</v>
      </c>
      <c r="B15" s="14">
        <v>1200</v>
      </c>
      <c r="C15" s="2" t="s">
        <v>28</v>
      </c>
    </row>
    <row r="16" spans="1:3" ht="34.799999999999997" customHeight="1" x14ac:dyDescent="0.3">
      <c r="A16" s="13" t="s">
        <v>83</v>
      </c>
      <c r="B16" s="15">
        <v>22</v>
      </c>
      <c r="C16" s="13" t="s">
        <v>84</v>
      </c>
    </row>
  </sheetData>
  <mergeCells count="2">
    <mergeCell ref="A1:C1"/>
    <mergeCell ref="A2:C2"/>
  </mergeCells>
  <conditionalFormatting sqref="B10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2">
    <dataValidation type="list" sqref="B14" xr:uid="{00000000-0002-0000-0000-000000000000}">
      <formula1>"TRUE,FALSE"</formula1>
    </dataValidation>
    <dataValidation type="list" sqref="B11" xr:uid="{00000000-0002-0000-0000-000001000000}">
      <formula1>"BULK,STANDARD"</formula1>
    </dataValidation>
  </dataValidation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showGridLines="0" workbookViewId="0">
      <pane ySplit="4" topLeftCell="A5" activePane="bottomLeft" state="frozen"/>
      <selection pane="bottomLeft" activeCell="D8" sqref="D8"/>
    </sheetView>
  </sheetViews>
  <sheetFormatPr defaultRowHeight="14.4" x14ac:dyDescent="0.3"/>
  <cols>
    <col min="1" max="1" width="13.5546875" style="8" bestFit="1" customWidth="1"/>
    <col min="2" max="2" width="9.33203125" style="8" bestFit="1" customWidth="1"/>
    <col min="3" max="3" width="16.6640625" style="8" bestFit="1" customWidth="1"/>
    <col min="4" max="4" width="19.44140625" style="8" bestFit="1" customWidth="1"/>
    <col min="5" max="5" width="26.5546875" style="8" bestFit="1" customWidth="1"/>
    <col min="6" max="6" width="20.6640625" style="8" bestFit="1" customWidth="1"/>
    <col min="7" max="7" width="13.44140625" style="8" bestFit="1" customWidth="1"/>
    <col min="8" max="8" width="13.33203125" style="8" bestFit="1" customWidth="1"/>
    <col min="9" max="9" width="11.33203125" style="8" bestFit="1" customWidth="1"/>
    <col min="10" max="10" width="14.33203125" style="8" bestFit="1" customWidth="1"/>
    <col min="11" max="11" width="82.6640625" style="24" bestFit="1" customWidth="1"/>
    <col min="12" max="16383" width="8.88671875" style="8"/>
  </cols>
  <sheetData>
    <row r="1" spans="1:11" ht="31.95" customHeight="1" x14ac:dyDescent="0.3">
      <c r="A1" s="29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1.95" customHeight="1" x14ac:dyDescent="0.3">
      <c r="A2" s="27" t="s">
        <v>30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4" spans="1:11" ht="43.2" x14ac:dyDescent="0.3">
      <c r="A4" s="9" t="s">
        <v>5</v>
      </c>
      <c r="B4" s="9" t="s">
        <v>31</v>
      </c>
      <c r="C4" s="9" t="s">
        <v>32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  <c r="I4" s="9" t="s">
        <v>39</v>
      </c>
      <c r="J4" s="9" t="s">
        <v>87</v>
      </c>
      <c r="K4" s="22" t="s">
        <v>40</v>
      </c>
    </row>
    <row r="5" spans="1:11" ht="27" customHeight="1" x14ac:dyDescent="0.3">
      <c r="A5" s="4" t="s">
        <v>6</v>
      </c>
      <c r="B5" s="4" t="s">
        <v>41</v>
      </c>
      <c r="C5" s="21">
        <v>0.15</v>
      </c>
      <c r="D5" s="21">
        <v>8.0000000000000002E-3</v>
      </c>
      <c r="E5" s="21">
        <v>2.8000000000000001E-2</v>
      </c>
      <c r="F5" s="21">
        <v>4.0500000000000001E-2</v>
      </c>
      <c r="G5" s="21">
        <v>7.0000000000000001E-3</v>
      </c>
      <c r="H5" s="21">
        <v>5.5999999999999995E-4</v>
      </c>
      <c r="I5" s="21">
        <v>0.25</v>
      </c>
      <c r="J5" s="21">
        <v>1.5E-5</v>
      </c>
      <c r="K5" s="23" t="s">
        <v>42</v>
      </c>
    </row>
    <row r="6" spans="1:11" ht="27" customHeight="1" x14ac:dyDescent="0.3">
      <c r="A6" s="4" t="s">
        <v>43</v>
      </c>
      <c r="B6" s="4" t="s">
        <v>41</v>
      </c>
      <c r="C6" s="21">
        <v>0.09</v>
      </c>
      <c r="D6" s="21">
        <v>2.5000000000000001E-3</v>
      </c>
      <c r="E6" s="21">
        <v>0.02</v>
      </c>
      <c r="F6" s="21">
        <v>1.2500000000000001E-2</v>
      </c>
      <c r="G6" s="21">
        <v>5.5E-2</v>
      </c>
      <c r="H6" s="21">
        <v>4.0000000000000002E-4</v>
      </c>
      <c r="I6" s="21">
        <v>0.25</v>
      </c>
      <c r="J6" s="21">
        <v>1E-3</v>
      </c>
      <c r="K6" s="23" t="s">
        <v>44</v>
      </c>
    </row>
    <row r="7" spans="1:11" ht="27" customHeight="1" x14ac:dyDescent="0.3">
      <c r="A7" s="4"/>
      <c r="B7" s="4"/>
      <c r="C7" s="21"/>
      <c r="D7" s="21"/>
      <c r="E7" s="21"/>
      <c r="F7" s="21"/>
      <c r="G7" s="21"/>
      <c r="H7" s="21"/>
      <c r="I7" s="21"/>
      <c r="J7" s="21"/>
      <c r="K7" s="23"/>
    </row>
    <row r="8" spans="1:11" ht="27" customHeight="1" x14ac:dyDescent="0.3">
      <c r="A8" s="4"/>
      <c r="B8" s="4"/>
      <c r="C8" s="21"/>
      <c r="D8" s="21"/>
      <c r="E8" s="21"/>
      <c r="F8" s="21"/>
      <c r="G8" s="21"/>
      <c r="H8" s="21"/>
      <c r="I8" s="21"/>
      <c r="J8" s="21"/>
      <c r="K8" s="23"/>
    </row>
    <row r="9" spans="1:11" ht="27" customHeight="1" x14ac:dyDescent="0.3">
      <c r="A9" s="4"/>
      <c r="B9" s="4"/>
      <c r="C9" s="21"/>
      <c r="D9" s="21"/>
      <c r="E9" s="21"/>
      <c r="F9" s="21"/>
      <c r="G9" s="21"/>
      <c r="H9" s="21"/>
      <c r="I9" s="21"/>
      <c r="J9" s="21"/>
      <c r="K9" s="23"/>
    </row>
    <row r="10" spans="1:11" ht="27" customHeight="1" x14ac:dyDescent="0.3">
      <c r="A10" s="4"/>
      <c r="B10" s="4"/>
      <c r="C10" s="21"/>
      <c r="D10" s="21"/>
      <c r="E10" s="21"/>
      <c r="F10" s="21"/>
      <c r="G10" s="21"/>
      <c r="H10" s="21"/>
      <c r="I10" s="21"/>
      <c r="J10" s="21"/>
      <c r="K10" s="23"/>
    </row>
    <row r="11" spans="1:11" ht="27" customHeight="1" x14ac:dyDescent="0.3">
      <c r="A11" s="4"/>
      <c r="B11" s="4"/>
      <c r="C11" s="21"/>
      <c r="D11" s="21"/>
      <c r="E11" s="21"/>
      <c r="F11" s="21"/>
      <c r="G11" s="21"/>
      <c r="H11" s="21"/>
      <c r="I11" s="21"/>
      <c r="J11" s="21"/>
      <c r="K11" s="23"/>
    </row>
    <row r="12" spans="1:11" ht="27" customHeight="1" x14ac:dyDescent="0.3">
      <c r="A12" s="4"/>
      <c r="B12" s="4"/>
      <c r="C12" s="21"/>
      <c r="D12" s="21"/>
      <c r="E12" s="21"/>
      <c r="F12" s="21"/>
      <c r="G12" s="21"/>
      <c r="H12" s="21"/>
      <c r="I12" s="21"/>
      <c r="J12" s="21"/>
      <c r="K12" s="23"/>
    </row>
    <row r="13" spans="1:11" ht="27" customHeight="1" x14ac:dyDescent="0.3">
      <c r="A13" s="4"/>
      <c r="B13" s="4"/>
      <c r="C13" s="21"/>
      <c r="D13" s="21"/>
      <c r="E13" s="21"/>
      <c r="F13" s="21"/>
      <c r="G13" s="21"/>
      <c r="H13" s="21"/>
      <c r="I13" s="21"/>
      <c r="J13" s="21"/>
      <c r="K13" s="23"/>
    </row>
    <row r="14" spans="1:11" ht="27" customHeight="1" x14ac:dyDescent="0.3">
      <c r="A14" s="4"/>
      <c r="B14" s="4"/>
      <c r="C14" s="21"/>
      <c r="D14" s="21"/>
      <c r="E14" s="21"/>
      <c r="F14" s="21"/>
      <c r="G14" s="21"/>
      <c r="H14" s="21"/>
      <c r="I14" s="21"/>
      <c r="J14" s="21"/>
      <c r="K14" s="23"/>
    </row>
    <row r="15" spans="1:11" ht="27" customHeight="1" x14ac:dyDescent="0.3">
      <c r="A15" s="4"/>
      <c r="B15" s="4"/>
      <c r="C15" s="21"/>
      <c r="D15" s="21"/>
      <c r="E15" s="21"/>
      <c r="F15" s="21"/>
      <c r="G15" s="21"/>
      <c r="H15" s="21"/>
      <c r="I15" s="21"/>
      <c r="J15" s="21"/>
      <c r="K15" s="23"/>
    </row>
    <row r="16" spans="1:11" ht="27" customHeight="1" x14ac:dyDescent="0.3">
      <c r="A16" s="4"/>
      <c r="B16" s="4"/>
      <c r="C16" s="21"/>
      <c r="D16" s="21"/>
      <c r="E16" s="21"/>
      <c r="F16" s="21"/>
      <c r="G16" s="21"/>
      <c r="H16" s="21"/>
      <c r="I16" s="21"/>
      <c r="J16" s="21"/>
      <c r="K16" s="23"/>
    </row>
    <row r="17" spans="1:11" ht="27" customHeight="1" x14ac:dyDescent="0.3">
      <c r="A17" s="4"/>
      <c r="B17" s="4"/>
      <c r="C17" s="21"/>
      <c r="D17" s="21"/>
      <c r="E17" s="21"/>
      <c r="F17" s="21"/>
      <c r="G17" s="21"/>
      <c r="H17" s="21"/>
      <c r="I17" s="21"/>
      <c r="J17" s="21"/>
      <c r="K17" s="23"/>
    </row>
    <row r="18" spans="1:11" ht="27" customHeight="1" x14ac:dyDescent="0.3">
      <c r="A18" s="4"/>
      <c r="B18" s="4"/>
      <c r="C18" s="21"/>
      <c r="D18" s="21"/>
      <c r="E18" s="21"/>
      <c r="F18" s="21"/>
      <c r="G18" s="21"/>
      <c r="H18" s="21"/>
      <c r="I18" s="21"/>
      <c r="J18" s="21"/>
      <c r="K18" s="23"/>
    </row>
    <row r="19" spans="1:11" ht="27" customHeight="1" x14ac:dyDescent="0.3">
      <c r="A19" s="4"/>
      <c r="B19" s="4"/>
      <c r="C19" s="21"/>
      <c r="D19" s="21"/>
      <c r="E19" s="21"/>
      <c r="F19" s="21"/>
      <c r="G19" s="21"/>
      <c r="H19" s="21"/>
      <c r="I19" s="21"/>
      <c r="J19" s="21"/>
      <c r="K19" s="23"/>
    </row>
    <row r="20" spans="1:11" ht="27" customHeight="1" x14ac:dyDescent="0.3">
      <c r="A20" s="4"/>
      <c r="B20" s="4"/>
      <c r="C20" s="21"/>
      <c r="D20" s="21"/>
      <c r="E20" s="21"/>
      <c r="F20" s="21"/>
      <c r="G20" s="21"/>
      <c r="H20" s="21"/>
      <c r="I20" s="21"/>
      <c r="J20" s="21"/>
      <c r="K20" s="23"/>
    </row>
    <row r="21" spans="1:11" ht="27" customHeight="1" x14ac:dyDescent="0.3">
      <c r="A21" s="4"/>
      <c r="B21" s="4"/>
      <c r="C21" s="21"/>
      <c r="D21" s="21"/>
      <c r="E21" s="21"/>
      <c r="F21" s="21"/>
      <c r="G21" s="21"/>
      <c r="H21" s="21"/>
      <c r="I21" s="21"/>
      <c r="J21" s="21"/>
      <c r="K21" s="23"/>
    </row>
    <row r="22" spans="1:11" ht="27" customHeight="1" x14ac:dyDescent="0.3">
      <c r="A22" s="4"/>
      <c r="B22" s="4"/>
      <c r="C22" s="21"/>
      <c r="D22" s="21"/>
      <c r="E22" s="21"/>
      <c r="F22" s="21"/>
      <c r="G22" s="21"/>
      <c r="H22" s="21"/>
      <c r="I22" s="21"/>
      <c r="J22" s="21"/>
      <c r="K22" s="23"/>
    </row>
    <row r="23" spans="1:11" ht="27" customHeight="1" x14ac:dyDescent="0.3">
      <c r="A23" s="4"/>
      <c r="B23" s="4"/>
      <c r="C23" s="21"/>
      <c r="D23" s="21"/>
      <c r="E23" s="21"/>
      <c r="F23" s="21"/>
      <c r="G23" s="21"/>
      <c r="H23" s="21"/>
      <c r="I23" s="21"/>
      <c r="J23" s="21"/>
      <c r="K23" s="23"/>
    </row>
    <row r="24" spans="1:11" ht="27" customHeight="1" x14ac:dyDescent="0.3">
      <c r="A24" s="4"/>
      <c r="B24" s="4"/>
      <c r="C24" s="21"/>
      <c r="D24" s="21"/>
      <c r="E24" s="21"/>
      <c r="F24" s="21"/>
      <c r="G24" s="21"/>
      <c r="H24" s="21"/>
      <c r="I24" s="21"/>
      <c r="J24" s="21"/>
      <c r="K24" s="23"/>
    </row>
    <row r="25" spans="1:11" ht="27" customHeight="1" x14ac:dyDescent="0.3">
      <c r="A25" s="4"/>
      <c r="B25" s="4"/>
      <c r="C25" s="21"/>
      <c r="D25" s="21"/>
      <c r="E25" s="21"/>
      <c r="F25" s="21"/>
      <c r="G25" s="21"/>
      <c r="H25" s="21"/>
      <c r="I25" s="21"/>
      <c r="J25" s="21"/>
      <c r="K25" s="23"/>
    </row>
    <row r="26" spans="1:11" ht="27" customHeight="1" x14ac:dyDescent="0.3">
      <c r="A26" s="4"/>
      <c r="B26" s="4"/>
      <c r="C26" s="21"/>
      <c r="D26" s="21"/>
      <c r="E26" s="21"/>
      <c r="F26" s="21"/>
      <c r="G26" s="21"/>
      <c r="H26" s="21"/>
      <c r="I26" s="21"/>
      <c r="J26" s="21"/>
      <c r="K26" s="23"/>
    </row>
    <row r="27" spans="1:11" ht="27" customHeight="1" x14ac:dyDescent="0.3">
      <c r="A27" s="4"/>
      <c r="B27" s="4"/>
      <c r="C27" s="21"/>
      <c r="D27" s="21"/>
      <c r="E27" s="21"/>
      <c r="F27" s="21"/>
      <c r="G27" s="21"/>
      <c r="H27" s="21"/>
      <c r="I27" s="21"/>
      <c r="J27" s="21"/>
      <c r="K27" s="23"/>
    </row>
    <row r="28" spans="1:11" ht="27" customHeight="1" x14ac:dyDescent="0.3">
      <c r="A28" s="4"/>
      <c r="B28" s="4"/>
      <c r="C28" s="21"/>
      <c r="D28" s="21"/>
      <c r="E28" s="21"/>
      <c r="F28" s="21"/>
      <c r="G28" s="21"/>
      <c r="H28" s="21"/>
      <c r="I28" s="21"/>
      <c r="J28" s="21"/>
      <c r="K28" s="23"/>
    </row>
    <row r="29" spans="1:11" ht="27" customHeight="1" x14ac:dyDescent="0.3">
      <c r="A29" s="4"/>
      <c r="B29" s="4"/>
      <c r="C29" s="21"/>
      <c r="D29" s="21"/>
      <c r="E29" s="21"/>
      <c r="F29" s="21"/>
      <c r="G29" s="21"/>
      <c r="H29" s="21"/>
      <c r="I29" s="21"/>
      <c r="J29" s="21"/>
      <c r="K29" s="23"/>
    </row>
    <row r="30" spans="1:11" ht="27" customHeight="1" x14ac:dyDescent="0.3">
      <c r="A30" s="4"/>
      <c r="B30" s="4"/>
      <c r="C30" s="21"/>
      <c r="D30" s="21"/>
      <c r="E30" s="21"/>
      <c r="F30" s="21"/>
      <c r="G30" s="21"/>
      <c r="H30" s="21"/>
      <c r="I30" s="21"/>
      <c r="J30" s="21"/>
      <c r="K30" s="23"/>
    </row>
    <row r="31" spans="1:11" ht="27" customHeight="1" x14ac:dyDescent="0.3">
      <c r="A31" s="4"/>
      <c r="B31" s="4"/>
      <c r="C31" s="21"/>
      <c r="D31" s="21"/>
      <c r="E31" s="21"/>
      <c r="F31" s="21"/>
      <c r="G31" s="21"/>
      <c r="H31" s="21"/>
      <c r="I31" s="21"/>
      <c r="J31" s="21"/>
      <c r="K31" s="23"/>
    </row>
    <row r="32" spans="1:11" ht="27" customHeight="1" x14ac:dyDescent="0.3">
      <c r="A32" s="4"/>
      <c r="B32" s="4"/>
      <c r="C32" s="21"/>
      <c r="D32" s="21"/>
      <c r="E32" s="21"/>
      <c r="F32" s="21"/>
      <c r="G32" s="21"/>
      <c r="H32" s="21"/>
      <c r="I32" s="21"/>
      <c r="J32" s="21"/>
      <c r="K32" s="23"/>
    </row>
    <row r="33" spans="1:11" ht="27" customHeight="1" x14ac:dyDescent="0.3">
      <c r="A33" s="4"/>
      <c r="B33" s="4"/>
      <c r="C33" s="21"/>
      <c r="D33" s="21"/>
      <c r="E33" s="21"/>
      <c r="F33" s="21"/>
      <c r="G33" s="21"/>
      <c r="H33" s="21"/>
      <c r="I33" s="21"/>
      <c r="J33" s="21"/>
      <c r="K33" s="23"/>
    </row>
    <row r="34" spans="1:11" ht="27" customHeight="1" x14ac:dyDescent="0.3">
      <c r="A34" s="4"/>
      <c r="B34" s="4"/>
      <c r="C34" s="21"/>
      <c r="D34" s="21"/>
      <c r="E34" s="21"/>
      <c r="F34" s="21"/>
      <c r="G34" s="21"/>
      <c r="H34" s="21"/>
      <c r="I34" s="21"/>
      <c r="J34" s="21"/>
      <c r="K34" s="23"/>
    </row>
    <row r="35" spans="1:11" ht="27" customHeight="1" x14ac:dyDescent="0.3">
      <c r="A35" s="4"/>
      <c r="B35" s="4"/>
      <c r="C35" s="21"/>
      <c r="D35" s="21"/>
      <c r="E35" s="21"/>
      <c r="F35" s="21"/>
      <c r="G35" s="21"/>
      <c r="H35" s="21"/>
      <c r="I35" s="21"/>
      <c r="J35" s="21"/>
      <c r="K35" s="23"/>
    </row>
    <row r="36" spans="1:11" ht="27" customHeight="1" x14ac:dyDescent="0.3">
      <c r="A36" s="4"/>
      <c r="B36" s="4"/>
      <c r="C36" s="21"/>
      <c r="D36" s="21"/>
      <c r="E36" s="21"/>
      <c r="F36" s="21"/>
      <c r="G36" s="21"/>
      <c r="H36" s="21"/>
      <c r="I36" s="21"/>
      <c r="J36" s="21"/>
      <c r="K36" s="23"/>
    </row>
    <row r="37" spans="1:11" ht="27" customHeight="1" x14ac:dyDescent="0.3">
      <c r="A37" s="4"/>
      <c r="B37" s="4"/>
      <c r="C37" s="21"/>
      <c r="D37" s="21"/>
      <c r="E37" s="21"/>
      <c r="F37" s="21"/>
      <c r="G37" s="21"/>
      <c r="H37" s="21"/>
      <c r="I37" s="21"/>
      <c r="J37" s="21"/>
      <c r="K37" s="23"/>
    </row>
    <row r="38" spans="1:11" ht="27" customHeight="1" x14ac:dyDescent="0.3">
      <c r="A38" s="4"/>
      <c r="B38" s="4"/>
      <c r="C38" s="21"/>
      <c r="D38" s="21"/>
      <c r="E38" s="21"/>
      <c r="F38" s="21"/>
      <c r="G38" s="21"/>
      <c r="H38" s="21"/>
      <c r="I38" s="21"/>
      <c r="J38" s="21"/>
      <c r="K38" s="23"/>
    </row>
    <row r="39" spans="1:11" ht="27" customHeight="1" x14ac:dyDescent="0.3">
      <c r="A39" s="4"/>
      <c r="B39" s="4"/>
      <c r="C39" s="21"/>
      <c r="D39" s="21"/>
      <c r="E39" s="21"/>
      <c r="F39" s="21"/>
      <c r="G39" s="21"/>
      <c r="H39" s="21"/>
      <c r="I39" s="21"/>
      <c r="J39" s="21"/>
      <c r="K39" s="23"/>
    </row>
    <row r="40" spans="1:11" ht="27" customHeight="1" x14ac:dyDescent="0.3">
      <c r="A40" s="4"/>
      <c r="B40" s="4"/>
      <c r="C40" s="21"/>
      <c r="D40" s="21"/>
      <c r="E40" s="21"/>
      <c r="F40" s="21"/>
      <c r="G40" s="21"/>
      <c r="H40" s="21"/>
      <c r="I40" s="21"/>
      <c r="J40" s="21"/>
      <c r="K40" s="23"/>
    </row>
    <row r="41" spans="1:11" ht="27" customHeight="1" x14ac:dyDescent="0.3">
      <c r="A41" s="4"/>
      <c r="B41" s="4"/>
      <c r="C41" s="21"/>
      <c r="D41" s="21"/>
      <c r="E41" s="21"/>
      <c r="F41" s="21"/>
      <c r="G41" s="21"/>
      <c r="H41" s="21"/>
      <c r="I41" s="21"/>
      <c r="J41" s="21"/>
      <c r="K41" s="23"/>
    </row>
    <row r="42" spans="1:11" ht="27" customHeight="1" x14ac:dyDescent="0.3">
      <c r="A42" s="4"/>
      <c r="B42" s="4"/>
      <c r="C42" s="21"/>
      <c r="D42" s="21"/>
      <c r="E42" s="21"/>
      <c r="F42" s="21"/>
      <c r="G42" s="21"/>
      <c r="H42" s="21"/>
      <c r="I42" s="21"/>
      <c r="J42" s="21"/>
      <c r="K42" s="23"/>
    </row>
    <row r="43" spans="1:11" ht="27" customHeight="1" x14ac:dyDescent="0.3">
      <c r="A43" s="4"/>
      <c r="B43" s="4"/>
      <c r="C43" s="21"/>
      <c r="D43" s="21"/>
      <c r="E43" s="21"/>
      <c r="F43" s="21"/>
      <c r="G43" s="21"/>
      <c r="H43" s="21"/>
      <c r="I43" s="21"/>
      <c r="J43" s="21"/>
      <c r="K43" s="23"/>
    </row>
    <row r="44" spans="1:11" ht="27" customHeight="1" x14ac:dyDescent="0.3">
      <c r="A44" s="4"/>
      <c r="B44" s="4"/>
      <c r="C44" s="21"/>
      <c r="D44" s="21"/>
      <c r="E44" s="21"/>
      <c r="F44" s="21"/>
      <c r="G44" s="21"/>
      <c r="H44" s="21"/>
      <c r="I44" s="21"/>
      <c r="J44" s="21"/>
      <c r="K44" s="23"/>
    </row>
    <row r="45" spans="1:11" ht="27" customHeight="1" x14ac:dyDescent="0.3">
      <c r="A45" s="4"/>
      <c r="B45" s="4"/>
      <c r="C45" s="21"/>
      <c r="D45" s="21"/>
      <c r="E45" s="21"/>
      <c r="F45" s="21"/>
      <c r="G45" s="21"/>
      <c r="H45" s="21"/>
      <c r="I45" s="21"/>
      <c r="J45" s="21"/>
      <c r="K45" s="23"/>
    </row>
    <row r="46" spans="1:11" ht="27" customHeight="1" x14ac:dyDescent="0.3">
      <c r="A46" s="4"/>
      <c r="B46" s="4"/>
      <c r="C46" s="21"/>
      <c r="D46" s="21"/>
      <c r="E46" s="21"/>
      <c r="F46" s="21"/>
      <c r="G46" s="21"/>
      <c r="H46" s="21"/>
      <c r="I46" s="21"/>
      <c r="J46" s="21"/>
      <c r="K46" s="23"/>
    </row>
    <row r="47" spans="1:11" ht="27" customHeight="1" x14ac:dyDescent="0.3">
      <c r="A47" s="4"/>
      <c r="B47" s="4"/>
      <c r="C47" s="21"/>
      <c r="D47" s="21"/>
      <c r="E47" s="21"/>
      <c r="F47" s="21"/>
      <c r="G47" s="21"/>
      <c r="H47" s="21"/>
      <c r="I47" s="21"/>
      <c r="J47" s="21"/>
      <c r="K47" s="23"/>
    </row>
    <row r="48" spans="1:11" ht="27" customHeight="1" x14ac:dyDescent="0.3">
      <c r="A48" s="4"/>
      <c r="B48" s="4"/>
      <c r="C48" s="21"/>
      <c r="D48" s="21"/>
      <c r="E48" s="21"/>
      <c r="F48" s="21"/>
      <c r="G48" s="21"/>
      <c r="H48" s="21"/>
      <c r="I48" s="21"/>
      <c r="J48" s="21"/>
      <c r="K48" s="23"/>
    </row>
    <row r="49" spans="1:11" ht="27" customHeight="1" x14ac:dyDescent="0.3">
      <c r="A49" s="4"/>
      <c r="B49" s="4"/>
      <c r="C49" s="21"/>
      <c r="D49" s="21"/>
      <c r="E49" s="21"/>
      <c r="F49" s="21"/>
      <c r="G49" s="21"/>
      <c r="H49" s="21"/>
      <c r="I49" s="21"/>
      <c r="J49" s="21"/>
      <c r="K49" s="23"/>
    </row>
    <row r="50" spans="1:11" ht="27" customHeight="1" x14ac:dyDescent="0.3">
      <c r="A50" s="4"/>
      <c r="B50" s="4"/>
      <c r="C50" s="21"/>
      <c r="D50" s="21"/>
      <c r="E50" s="21"/>
      <c r="F50" s="21"/>
      <c r="G50" s="21"/>
      <c r="H50" s="21"/>
      <c r="I50" s="21"/>
      <c r="J50" s="21"/>
      <c r="K50" s="23"/>
    </row>
    <row r="51" spans="1:11" ht="27" customHeight="1" x14ac:dyDescent="0.3">
      <c r="A51" s="4"/>
      <c r="B51" s="4"/>
      <c r="C51" s="21"/>
      <c r="D51" s="21"/>
      <c r="E51" s="21"/>
      <c r="F51" s="21"/>
      <c r="G51" s="21"/>
      <c r="H51" s="21"/>
      <c r="I51" s="21"/>
      <c r="J51" s="21"/>
      <c r="K51" s="23"/>
    </row>
    <row r="52" spans="1:11" ht="27" customHeight="1" x14ac:dyDescent="0.3">
      <c r="A52" s="4"/>
      <c r="B52" s="4"/>
      <c r="C52" s="21"/>
      <c r="D52" s="21"/>
      <c r="E52" s="21"/>
      <c r="F52" s="21"/>
      <c r="G52" s="21"/>
      <c r="H52" s="21"/>
      <c r="I52" s="21"/>
      <c r="J52" s="21"/>
      <c r="K52" s="23"/>
    </row>
    <row r="53" spans="1:11" ht="27" customHeight="1" x14ac:dyDescent="0.3">
      <c r="A53" s="4"/>
      <c r="B53" s="4"/>
      <c r="C53" s="21"/>
      <c r="D53" s="21"/>
      <c r="E53" s="21"/>
      <c r="F53" s="21"/>
      <c r="G53" s="21"/>
      <c r="H53" s="21"/>
      <c r="I53" s="21"/>
      <c r="J53" s="21"/>
      <c r="K53" s="23"/>
    </row>
    <row r="54" spans="1:11" ht="27" customHeight="1" x14ac:dyDescent="0.3">
      <c r="A54" s="4"/>
      <c r="B54" s="4"/>
      <c r="C54" s="21"/>
      <c r="D54" s="21"/>
      <c r="E54" s="21"/>
      <c r="F54" s="21"/>
      <c r="G54" s="21"/>
      <c r="H54" s="21"/>
      <c r="I54" s="21"/>
      <c r="J54" s="21"/>
      <c r="K54" s="23"/>
    </row>
  </sheetData>
  <autoFilter ref="A4:K54" xr:uid="{00000000-0009-0000-0000-000001000000}"/>
  <mergeCells count="2">
    <mergeCell ref="A2:K2"/>
    <mergeCell ref="A1:K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showGridLines="0" tabSelected="1" zoomScale="110" zoomScaleNormal="110" workbookViewId="0">
      <pane ySplit="4" topLeftCell="A5" activePane="bottomLeft" state="frozen"/>
      <selection pane="bottomLeft" activeCell="F19" sqref="F19"/>
    </sheetView>
  </sheetViews>
  <sheetFormatPr defaultRowHeight="14.4" x14ac:dyDescent="0.3"/>
  <cols>
    <col min="1" max="1" width="41" customWidth="1"/>
    <col min="2" max="2" width="14.77734375" customWidth="1"/>
    <col min="3" max="5" width="18" customWidth="1"/>
    <col min="6" max="6" width="19.88671875" customWidth="1"/>
    <col min="7" max="7" width="48" customWidth="1"/>
    <col min="8" max="8" width="16.44140625" style="8" customWidth="1"/>
    <col min="9" max="9" width="12.88671875" bestFit="1" customWidth="1"/>
  </cols>
  <sheetData>
    <row r="1" spans="1:9" ht="31.95" customHeight="1" x14ac:dyDescent="0.3">
      <c r="A1" s="25" t="s">
        <v>45</v>
      </c>
      <c r="B1" s="30"/>
      <c r="C1" s="30"/>
      <c r="D1" s="30"/>
      <c r="E1" s="30"/>
      <c r="F1" s="30"/>
      <c r="G1" s="30"/>
      <c r="H1" s="30"/>
    </row>
    <row r="2" spans="1:9" ht="31.95" customHeight="1" x14ac:dyDescent="0.3">
      <c r="A2" s="36" t="s">
        <v>46</v>
      </c>
      <c r="B2" s="36"/>
      <c r="C2" s="36"/>
      <c r="D2" s="36"/>
      <c r="E2" s="36"/>
      <c r="F2" s="36"/>
      <c r="G2" s="18" t="s">
        <v>85</v>
      </c>
      <c r="H2" s="19">
        <v>5.16</v>
      </c>
    </row>
    <row r="4" spans="1:9" x14ac:dyDescent="0.3">
      <c r="A4" s="9" t="s">
        <v>47</v>
      </c>
      <c r="B4" s="9" t="s">
        <v>48</v>
      </c>
      <c r="C4" s="9" t="s">
        <v>49</v>
      </c>
      <c r="D4" s="9" t="s">
        <v>50</v>
      </c>
      <c r="E4" s="9" t="s">
        <v>51</v>
      </c>
      <c r="F4" s="9" t="s">
        <v>52</v>
      </c>
      <c r="G4" s="9" t="s">
        <v>53</v>
      </c>
      <c r="H4" s="9" t="s">
        <v>82</v>
      </c>
    </row>
    <row r="5" spans="1:9" ht="27" customHeight="1" x14ac:dyDescent="0.3">
      <c r="A5" s="2" t="s">
        <v>54</v>
      </c>
      <c r="B5" s="6">
        <f>'Dados da transferência'!B8*1000*'Dados da transferência'!B10</f>
        <v>10000</v>
      </c>
      <c r="C5" s="2" t="s">
        <v>55</v>
      </c>
      <c r="D5" s="11">
        <f>VLOOKUP('Dados da transferência'!B5,'Tarifas por região'!A:K,4,FALSE)</f>
        <v>8.0000000000000002E-3</v>
      </c>
      <c r="E5" s="10" t="s">
        <v>56</v>
      </c>
      <c r="F5" s="12">
        <f>IF('Dados da transferência'!B11="BULK",IFERROR(B5*D5,"Não precificado"),0)</f>
        <v>80</v>
      </c>
      <c r="G5" s="2" t="s">
        <v>57</v>
      </c>
      <c r="H5" s="10" t="s">
        <v>58</v>
      </c>
    </row>
    <row r="6" spans="1:9" ht="27" customHeight="1" x14ac:dyDescent="0.3">
      <c r="A6" s="2" t="s">
        <v>59</v>
      </c>
      <c r="B6" s="6">
        <f>'Dados da transferência'!B8*1000*'Dados da transferência'!B10</f>
        <v>10000</v>
      </c>
      <c r="C6" s="2" t="s">
        <v>55</v>
      </c>
      <c r="D6" s="11">
        <f>VLOOKUP('Dados da transferência'!B5,'Tarifas por região'!A:K,5,FALSE)</f>
        <v>2.8000000000000001E-2</v>
      </c>
      <c r="E6" s="10" t="s">
        <v>56</v>
      </c>
      <c r="F6" s="12">
        <f>IF('Dados da transferência'!B11="STANDARD",IFERROR(B6*D6,"Não precificado"),0)</f>
        <v>0</v>
      </c>
      <c r="G6" s="2" t="s">
        <v>57</v>
      </c>
      <c r="H6" s="10" t="s">
        <v>58</v>
      </c>
    </row>
    <row r="7" spans="1:9" ht="27" customHeight="1" x14ac:dyDescent="0.3">
      <c r="A7" s="2" t="s">
        <v>60</v>
      </c>
      <c r="B7" s="6">
        <f>'Dados da transferência'!B8*1000*'Dados da transferência'!B10*'Dados da transferência'!B12/(24*30)</f>
        <v>333.33333333333331</v>
      </c>
      <c r="C7" s="2" t="s">
        <v>61</v>
      </c>
      <c r="D7" s="11">
        <f>VLOOKUP('Dados da transferência'!B5,'Tarifas por região'!A:K,6,FALSE)</f>
        <v>4.0500000000000001E-2</v>
      </c>
      <c r="E7" s="10" t="s">
        <v>56</v>
      </c>
      <c r="F7" s="12">
        <f>IF(H7,IFERROR(B7*D7,"Não precificado"),0)</f>
        <v>13.5</v>
      </c>
      <c r="G7" s="2" t="s">
        <v>62</v>
      </c>
      <c r="H7" s="4" t="b">
        <v>1</v>
      </c>
    </row>
    <row r="8" spans="1:9" ht="27" customHeight="1" x14ac:dyDescent="0.3">
      <c r="A8" s="2" t="s">
        <v>63</v>
      </c>
      <c r="B8" s="6">
        <f>1</f>
        <v>1</v>
      </c>
      <c r="C8" s="2" t="s">
        <v>64</v>
      </c>
      <c r="D8" s="11">
        <f>VLOOKUP('Dados da transferência'!B5,'Tarifas por região'!A:K,9,FALSE)</f>
        <v>0.25</v>
      </c>
      <c r="E8" s="10" t="s">
        <v>56</v>
      </c>
      <c r="F8" s="12">
        <f>IF(H8,IFERROR(B8*D8,"Não precificado"),)</f>
        <v>0.25</v>
      </c>
      <c r="G8" s="2" t="s">
        <v>65</v>
      </c>
      <c r="H8" s="4" t="b">
        <v>1</v>
      </c>
    </row>
    <row r="9" spans="1:9" ht="27" customHeight="1" x14ac:dyDescent="0.3">
      <c r="A9" s="2" t="s">
        <v>66</v>
      </c>
      <c r="B9" s="6">
        <f>ROUNDUP('Dados da transferência'!B7/'Dados da transferência'!B9,0)</f>
        <v>64000</v>
      </c>
      <c r="C9" s="2" t="s">
        <v>67</v>
      </c>
      <c r="D9" s="11">
        <f>VLOOKUP('Dados da transferência'!B5,'Tarifas por região'!A:K,10,FALSE)</f>
        <v>1.5E-5</v>
      </c>
      <c r="E9" s="10" t="s">
        <v>56</v>
      </c>
      <c r="F9" s="12">
        <f>IF(H9,IFERROR(B9*D9,"Não precificado"),0)</f>
        <v>0.96000000000000008</v>
      </c>
      <c r="G9" s="2" t="s">
        <v>68</v>
      </c>
      <c r="H9" s="4" t="b">
        <v>1</v>
      </c>
    </row>
    <row r="10" spans="1:9" ht="27" customHeight="1" x14ac:dyDescent="0.3">
      <c r="A10" s="2" t="s">
        <v>69</v>
      </c>
      <c r="B10" s="6">
        <f>(ROUNDUP('Dados da transferência'!B7/1000,0)*'Dados da transferência'!B13)+ROUNDUP('Dados da transferência'!B7/'Dados da transferência'!B9/1000,0)</f>
        <v>460864</v>
      </c>
      <c r="C10" s="2" t="s">
        <v>70</v>
      </c>
      <c r="D10" s="11">
        <f>VLOOKUP('Dados da transferência'!B5,'Tarifas por região'!A:K,7,FALSE)/1000</f>
        <v>6.9999999999999999E-6</v>
      </c>
      <c r="E10" s="10" t="s">
        <v>56</v>
      </c>
      <c r="F10" s="12">
        <f>IF(H10,IFERROR(B10*D10,"Não precificado"),0)</f>
        <v>3.226048</v>
      </c>
      <c r="G10" s="2" t="s">
        <v>71</v>
      </c>
      <c r="H10" s="4" t="b">
        <v>1</v>
      </c>
    </row>
    <row r="11" spans="1:9" ht="27" customHeight="1" x14ac:dyDescent="0.3">
      <c r="A11" s="2" t="s">
        <v>72</v>
      </c>
      <c r="B11" s="6">
        <f>ROUNDUP('Dados da transferência'!B7/'Dados da transferência'!B9,0)</f>
        <v>64000</v>
      </c>
      <c r="C11" s="2" t="s">
        <v>70</v>
      </c>
      <c r="D11" s="11">
        <f>VLOOKUP('Dados da transferência'!B5,'Tarifas por região'!A:K,8,FALSE)/1000</f>
        <v>5.5999999999999993E-7</v>
      </c>
      <c r="E11" s="10" t="s">
        <v>56</v>
      </c>
      <c r="F11" s="12">
        <f>IF(H11,IFERROR(B11*D11,"Não precificado"),0)</f>
        <v>3.5839999999999997E-2</v>
      </c>
      <c r="G11" s="2" t="s">
        <v>73</v>
      </c>
      <c r="H11" s="4" t="b">
        <v>1</v>
      </c>
    </row>
    <row r="12" spans="1:9" ht="27" customHeight="1" x14ac:dyDescent="0.3">
      <c r="A12" s="2" t="s">
        <v>74</v>
      </c>
      <c r="B12" s="6">
        <f>ROUNDUP('Dados da transferência'!B7/'Dados da transferência'!B9,0)</f>
        <v>64000</v>
      </c>
      <c r="C12" s="2" t="s">
        <v>70</v>
      </c>
      <c r="D12" s="11">
        <f>VLOOKUP('Dados da transferência'!B5,'Tarifas por região'!A:K,8,FALSE)/1000</f>
        <v>5.5999999999999993E-7</v>
      </c>
      <c r="E12" s="10" t="s">
        <v>56</v>
      </c>
      <c r="F12" s="12">
        <f>IF('Dados da transferência'!B14,IFERROR(B12*D12,"Não precificado"),0)</f>
        <v>3.5839999999999997E-2</v>
      </c>
      <c r="G12" s="2" t="s">
        <v>75</v>
      </c>
      <c r="H12" s="10" t="s">
        <v>58</v>
      </c>
    </row>
    <row r="13" spans="1:9" ht="27" customHeight="1" x14ac:dyDescent="0.3">
      <c r="A13" s="2" t="s">
        <v>76</v>
      </c>
      <c r="B13" s="6">
        <f>'Dados da transferência'!B8*1000</f>
        <v>10000</v>
      </c>
      <c r="C13" s="2" t="s">
        <v>55</v>
      </c>
      <c r="D13" s="11">
        <f>VLOOKUP('Dados da transferência'!B5,'Tarifas por região'!A:K,3,FALSE)</f>
        <v>0.15</v>
      </c>
      <c r="E13" s="10" t="s">
        <v>56</v>
      </c>
      <c r="F13" s="12" t="str">
        <f>IF(H13,IFERROR(B13*D13,"Não precificado"),"-")</f>
        <v>-</v>
      </c>
      <c r="G13" s="2" t="s">
        <v>77</v>
      </c>
      <c r="H13" s="4" t="b">
        <v>0</v>
      </c>
    </row>
    <row r="15" spans="1:9" ht="30" customHeight="1" x14ac:dyDescent="0.3">
      <c r="A15" s="3" t="s">
        <v>78</v>
      </c>
      <c r="B15" s="2"/>
      <c r="C15" s="2"/>
      <c r="D15" s="2"/>
      <c r="E15" s="2"/>
      <c r="F15" s="16">
        <f>SUM(F5:F13)</f>
        <v>98.007727999999986</v>
      </c>
      <c r="G15" s="37" t="s">
        <v>86</v>
      </c>
      <c r="H15" s="17">
        <f>F15*$H$2</f>
        <v>505.71987647999993</v>
      </c>
    </row>
    <row r="16" spans="1:9" ht="30" customHeight="1" x14ac:dyDescent="0.3">
      <c r="A16" s="3" t="s">
        <v>79</v>
      </c>
      <c r="B16" s="2"/>
      <c r="C16" s="2"/>
      <c r="D16" s="2"/>
      <c r="E16" s="2"/>
      <c r="F16" s="16">
        <f>F15*'Dados da transferência'!B9</f>
        <v>14701.159199999998</v>
      </c>
      <c r="G16" s="38"/>
      <c r="H16" s="17">
        <f>F16*$H$2</f>
        <v>75857.981471999999</v>
      </c>
      <c r="I16" s="20"/>
    </row>
    <row r="18" spans="1:8" ht="37.200000000000003" customHeight="1" x14ac:dyDescent="0.3">
      <c r="A18" s="3" t="s">
        <v>80</v>
      </c>
      <c r="B18" s="31" t="str">
        <f>INT(ROUND('Dados da transferência'!B6*8000000/'Dados da transferência'!B15/3600,0)/(24*'Dados da transferência'!B16))&amp;" meses, "&amp;INT(MOD(ROUND('Dados da transferência'!B6*8000000/'Dados da transferência'!B15/3600,0),24*'Dados da transferência'!B16)/24)&amp;" dias e "&amp;MOD(ROUND('Dados da transferência'!B6*8000000/'Dados da transferência'!B15/3600,0),24)&amp;" horas"</f>
        <v>5 meses, 5 dias e 18 horas</v>
      </c>
      <c r="C18" s="32"/>
      <c r="D18" s="2" t="s">
        <v>81</v>
      </c>
      <c r="E18" s="2"/>
      <c r="F18" s="33" t="str">
        <f>CONCATENATE("Baseado no volume total e na vazão efetiva configurada. 
Mês operacional = ",'Dados da transferência'!B16," dias. Não inclui restore, filas, pausas, retries ou validações.")</f>
        <v>Baseado no volume total e na vazão efetiva configurada. 
Mês operacional = 22 dias. Não inclui restore, filas, pausas, retries ou validações.</v>
      </c>
      <c r="G18" s="34"/>
      <c r="H18" s="35"/>
    </row>
  </sheetData>
  <mergeCells count="5">
    <mergeCell ref="A1:H1"/>
    <mergeCell ref="B18:C18"/>
    <mergeCell ref="F18:H18"/>
    <mergeCell ref="A2:F2"/>
    <mergeCell ref="G15:G16"/>
  </mergeCells>
  <conditionalFormatting sqref="H5:H13">
    <cfRule type="cellIs" dxfId="1" priority="1" operator="equal">
      <formula>FALSE</formula>
    </cfRule>
    <cfRule type="cellIs" dxfId="0" priority="2" operator="equal">
      <formula>TRUE</formula>
    </cfRule>
  </conditionalFormatting>
  <dataValidations count="1">
    <dataValidation type="list" sqref="H13 H7:H11" xr:uid="{00000000-0002-0000-0200-000000000000}">
      <formula1>"TRUE,FALSE"</formula1>
    </dataValidation>
  </dataValidations>
  <pageMargins left="0.75" right="0.75" top="1" bottom="1" header="0.5" footer="0.5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 da transferência</vt:lpstr>
      <vt:lpstr>Tarifas por região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Nicoli</cp:lastModifiedBy>
  <dcterms:created xsi:type="dcterms:W3CDTF">2026-08-19T13:30:40Z</dcterms:created>
  <dcterms:modified xsi:type="dcterms:W3CDTF">2026-08-19T15:26:52Z</dcterms:modified>
</cp:coreProperties>
</file>